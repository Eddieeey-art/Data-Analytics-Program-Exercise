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202300"/>
  <mc:AlternateContent xmlns:mc="http://schemas.openxmlformats.org/markup-compatibility/2006">
    <mc:Choice Requires="x15">
      <x15ac:absPath xmlns:x15ac="http://schemas.microsoft.com/office/spreadsheetml/2010/11/ac" url="https://d.docs.live.net/7e6d45a7a4ea4aab/Documents/"/>
    </mc:Choice>
  </mc:AlternateContent>
  <xr:revisionPtr revIDLastSave="1106" documentId="8_{8EA03BE6-A93A-47F8-AB6C-23B52273593F}" xr6:coauthVersionLast="47" xr6:coauthVersionMax="47" xr10:uidLastSave="{4AEA9DBC-1D6F-4B2B-BD9F-C4265E28913D}"/>
  <bookViews>
    <workbookView xWindow="-108" yWindow="-108" windowWidth="23256" windowHeight="13896" xr2:uid="{60E0E4A3-7AB4-4A68-B9A5-EC10A6CAA3D5}"/>
  </bookViews>
  <sheets>
    <sheet name="Practice" sheetId="1" r:id="rId1"/>
    <sheet name="Sheet1" sheetId="2" r:id="rId2"/>
    <sheet name="Sheet2" sheetId="3" r:id="rId3"/>
    <sheet name="Sheet4" sheetId="5" r:id="rId4"/>
    <sheet name="Sheet5" sheetId="6" r:id="rId5"/>
    <sheet name="Sheet6" sheetId="7" r:id="rId6"/>
  </sheets>
  <definedNames>
    <definedName name="Slicer_Month">#N/A</definedName>
    <definedName name="Slicer_Product_Category">#N/A</definedName>
  </definedNames>
  <calcPr calcId="191029"/>
  <pivotCaches>
    <pivotCache cacheId="0" r:id="rId7"/>
    <pivotCache cacheId="1"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41" i="1" l="1"/>
  <c r="M42" i="1"/>
  <c r="M43" i="1"/>
  <c r="L41" i="1"/>
  <c r="L42" i="1"/>
  <c r="L43" i="1"/>
  <c r="K41" i="1"/>
  <c r="K42" i="1"/>
  <c r="K43" i="1"/>
  <c r="M40" i="1"/>
  <c r="L40" i="1"/>
  <c r="K40" i="1"/>
  <c r="I31" i="1"/>
  <c r="I34" i="1"/>
  <c r="I33" i="1"/>
  <c r="I32" i="1"/>
  <c r="B89" i="1"/>
  <c r="B17" i="1"/>
  <c r="G16" i="1"/>
  <c r="C16" i="1"/>
  <c r="B100" i="2"/>
  <c r="B108" i="2"/>
  <c r="B107" i="2"/>
  <c r="B106" i="2"/>
  <c r="B105" i="2"/>
  <c r="B103" i="2"/>
  <c r="B102" i="2"/>
  <c r="B101" i="2"/>
  <c r="A69" i="1"/>
  <c r="A70" i="1"/>
  <c r="A71" i="1"/>
  <c r="A72" i="1"/>
  <c r="A73" i="1"/>
  <c r="A68" i="1"/>
  <c r="A52" i="1" a="1"/>
  <c r="A52" i="1" s="1"/>
  <c r="F24" i="1"/>
  <c r="E24" i="1"/>
  <c r="C24" i="1"/>
  <c r="D24" i="1"/>
  <c r="B24" i="1"/>
  <c r="B23" i="1"/>
  <c r="D23" i="1"/>
  <c r="C22" i="1"/>
  <c r="C23" i="1"/>
  <c r="F22" i="1"/>
  <c r="E22" i="1"/>
  <c r="D22" i="1"/>
  <c r="B22" i="1"/>
  <c r="E7" i="1"/>
  <c r="F7" i="1" s="1"/>
  <c r="G7" i="1" s="1"/>
  <c r="E8" i="1"/>
  <c r="F8" i="1" s="1"/>
  <c r="G8" i="1" s="1"/>
  <c r="E9" i="1"/>
  <c r="F9" i="1" s="1"/>
  <c r="G9" i="1" s="1"/>
  <c r="E10" i="1"/>
  <c r="F10" i="1" s="1"/>
  <c r="G10" i="1" s="1"/>
  <c r="E11" i="1"/>
  <c r="F11" i="1" s="1"/>
  <c r="G11" i="1" s="1"/>
  <c r="E6" i="1"/>
  <c r="F6" i="1" s="1"/>
  <c r="G6" i="1" s="1"/>
  <c r="C15" i="1"/>
  <c r="C14" i="1"/>
  <c r="C13" i="1"/>
  <c r="G23" i="1" l="1"/>
  <c r="G24" i="1"/>
  <c r="G22" i="1"/>
  <c r="F23" i="1"/>
  <c r="E23" i="1"/>
  <c r="G15" i="1"/>
  <c r="G14" i="1"/>
  <c r="G13"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<sst xmlns="http://schemas.openxmlformats.org/spreadsheetml/2006/main" count="349" uniqueCount="198">
  <si>
    <t>Last Name</t>
  </si>
  <si>
    <t>First Name</t>
  </si>
  <si>
    <t>Hourly  Wage</t>
  </si>
  <si>
    <t>Kern</t>
  </si>
  <si>
    <t>Jon</t>
  </si>
  <si>
    <t>Howard</t>
  </si>
  <si>
    <t>Glenda</t>
  </si>
  <si>
    <t>O'Donnald</t>
  </si>
  <si>
    <t>Ron</t>
  </si>
  <si>
    <t>Hernandez</t>
  </si>
  <si>
    <t>Wendy</t>
  </si>
  <si>
    <t xml:space="preserve">Smith </t>
  </si>
  <si>
    <t>Paul</t>
  </si>
  <si>
    <t>Baker</t>
  </si>
  <si>
    <t>Tom</t>
  </si>
  <si>
    <t>Max</t>
  </si>
  <si>
    <t>Min</t>
  </si>
  <si>
    <t>Average</t>
  </si>
  <si>
    <t>Pay</t>
  </si>
  <si>
    <t>Overtime</t>
  </si>
  <si>
    <t>Overtime Bonus</t>
  </si>
  <si>
    <t>Column1</t>
  </si>
  <si>
    <t>Column2</t>
  </si>
  <si>
    <t>Column3</t>
  </si>
  <si>
    <t>Column4</t>
  </si>
  <si>
    <t>Column5</t>
  </si>
  <si>
    <t>Column6</t>
  </si>
  <si>
    <t>Column7</t>
  </si>
  <si>
    <t>Hourly Wage</t>
  </si>
  <si>
    <t>Hours Worked</t>
  </si>
  <si>
    <t>XLOOKUP</t>
  </si>
  <si>
    <t>INDEXT &amp; MATCH</t>
  </si>
  <si>
    <t>VLOOKUP</t>
  </si>
  <si>
    <t>Name of Employees</t>
  </si>
  <si>
    <t>Year</t>
  </si>
  <si>
    <t>Concentrix</t>
  </si>
  <si>
    <t>VXI</t>
  </si>
  <si>
    <t>iQor</t>
  </si>
  <si>
    <t>Companies</t>
  </si>
  <si>
    <t>Jon Kern</t>
  </si>
  <si>
    <t>Glenda Howard</t>
  </si>
  <si>
    <t>Ron O'Donnald</t>
  </si>
  <si>
    <t>Wendy Hernandez</t>
  </si>
  <si>
    <t xml:space="preserve">Paul Smith </t>
  </si>
  <si>
    <t>Tom Baker</t>
  </si>
  <si>
    <t>Age</t>
  </si>
  <si>
    <t>Table</t>
  </si>
  <si>
    <t>FILTER</t>
  </si>
  <si>
    <t>IF</t>
  </si>
  <si>
    <t>2025-01-01</t>
  </si>
  <si>
    <t>Electronics</t>
  </si>
  <si>
    <t>2025-01-02</t>
  </si>
  <si>
    <t>Clothing</t>
  </si>
  <si>
    <t>2025-01-03</t>
  </si>
  <si>
    <t>Groceries</t>
  </si>
  <si>
    <t>2025-01-04</t>
  </si>
  <si>
    <t>Furniture</t>
  </si>
  <si>
    <t>2025-01-05</t>
  </si>
  <si>
    <t>2025-01-06</t>
  </si>
  <si>
    <t>2025-01-07</t>
  </si>
  <si>
    <t>2025-01-08</t>
  </si>
  <si>
    <t>2025-01-09</t>
  </si>
  <si>
    <t>2025-01-10</t>
  </si>
  <si>
    <t>2025-01-11</t>
  </si>
  <si>
    <t>2025-01-12</t>
  </si>
  <si>
    <t>2025-01-13</t>
  </si>
  <si>
    <t>2025-01-14</t>
  </si>
  <si>
    <t>2025-01-15</t>
  </si>
  <si>
    <t>2025-01-16</t>
  </si>
  <si>
    <t>2025-01-17</t>
  </si>
  <si>
    <t>2025-01-18</t>
  </si>
  <si>
    <t>2025-01-19</t>
  </si>
  <si>
    <t>2025-01-20</t>
  </si>
  <si>
    <t>2025-01-21</t>
  </si>
  <si>
    <t>2025-01-22</t>
  </si>
  <si>
    <t>2025-01-23</t>
  </si>
  <si>
    <t>2025-01-24</t>
  </si>
  <si>
    <t>2025-01-25</t>
  </si>
  <si>
    <t>2025-01-26</t>
  </si>
  <si>
    <t>2025-01-27</t>
  </si>
  <si>
    <t>2025-01-28</t>
  </si>
  <si>
    <t>2025-01-29</t>
  </si>
  <si>
    <t>2025-01-30</t>
  </si>
  <si>
    <t>2025-01-31</t>
  </si>
  <si>
    <t>2025-02-01</t>
  </si>
  <si>
    <t>2025-02-02</t>
  </si>
  <si>
    <t>2025-02-03</t>
  </si>
  <si>
    <t>2025-02-04</t>
  </si>
  <si>
    <t>2025-02-05</t>
  </si>
  <si>
    <t>2025-02-06</t>
  </si>
  <si>
    <t>2025-02-07</t>
  </si>
  <si>
    <t>2025-02-08</t>
  </si>
  <si>
    <t>2025-02-09</t>
  </si>
  <si>
    <t>2025-02-10</t>
  </si>
  <si>
    <t>2025-02-11</t>
  </si>
  <si>
    <t>2025-02-12</t>
  </si>
  <si>
    <t>2025-02-13</t>
  </si>
  <si>
    <t>2025-02-14</t>
  </si>
  <si>
    <t>2025-02-15</t>
  </si>
  <si>
    <t>2025-02-16</t>
  </si>
  <si>
    <t>2025-02-17</t>
  </si>
  <si>
    <t>2025-02-18</t>
  </si>
  <si>
    <t>2025-02-19</t>
  </si>
  <si>
    <t>2025-02-20</t>
  </si>
  <si>
    <t>2025-02-21</t>
  </si>
  <si>
    <t>2025-02-22</t>
  </si>
  <si>
    <t>2025-02-23</t>
  </si>
  <si>
    <t>2025-02-24</t>
  </si>
  <si>
    <t>2025-02-25</t>
  </si>
  <si>
    <t>2025-02-26</t>
  </si>
  <si>
    <t>2025-02-27</t>
  </si>
  <si>
    <t>2025-02-28</t>
  </si>
  <si>
    <t>2025-03-01</t>
  </si>
  <si>
    <t>2025-03-02</t>
  </si>
  <si>
    <t>2025-03-03</t>
  </si>
  <si>
    <t>2025-03-04</t>
  </si>
  <si>
    <t>2025-03-05</t>
  </si>
  <si>
    <t>2025-03-06</t>
  </si>
  <si>
    <t>2025-03-07</t>
  </si>
  <si>
    <t>2025-03-08</t>
  </si>
  <si>
    <t>2025-03-09</t>
  </si>
  <si>
    <t>2025-03-10</t>
  </si>
  <si>
    <t>2025-03-11</t>
  </si>
  <si>
    <t>2025-03-12</t>
  </si>
  <si>
    <t>2025-03-13</t>
  </si>
  <si>
    <t>2025-03-14</t>
  </si>
  <si>
    <t>2025-03-15</t>
  </si>
  <si>
    <t>2025-03-16</t>
  </si>
  <si>
    <t>2025-03-17</t>
  </si>
  <si>
    <t>2025-03-18</t>
  </si>
  <si>
    <t>2025-03-19</t>
  </si>
  <si>
    <t>2025-03-20</t>
  </si>
  <si>
    <t>2025-03-21</t>
  </si>
  <si>
    <t>2025-03-22</t>
  </si>
  <si>
    <t>2025-03-23</t>
  </si>
  <si>
    <t>2025-03-24</t>
  </si>
  <si>
    <t>2025-03-25</t>
  </si>
  <si>
    <t>2025-03-26</t>
  </si>
  <si>
    <t>2025-03-27</t>
  </si>
  <si>
    <t>2025-03-28</t>
  </si>
  <si>
    <t>2025-03-29</t>
  </si>
  <si>
    <t>2025-03-30</t>
  </si>
  <si>
    <t>2025-03-31</t>
  </si>
  <si>
    <t>2025-04-01</t>
  </si>
  <si>
    <t>2025-04-02</t>
  </si>
  <si>
    <t>2025-04-03</t>
  </si>
  <si>
    <t>2025-04-04</t>
  </si>
  <si>
    <t>2025-04-05</t>
  </si>
  <si>
    <t>2025-04-06</t>
  </si>
  <si>
    <t>Date</t>
  </si>
  <si>
    <t>Product Category</t>
  </si>
  <si>
    <t>Revenue</t>
  </si>
  <si>
    <t>Units Sold</t>
  </si>
  <si>
    <t>Total Revenue</t>
  </si>
  <si>
    <t>Average Revenue Per Day</t>
  </si>
  <si>
    <t>Maximum</t>
  </si>
  <si>
    <t>Minimum</t>
  </si>
  <si>
    <t>Row Labels</t>
  </si>
  <si>
    <t>Grand Total</t>
  </si>
  <si>
    <t>Sum of Revenue</t>
  </si>
  <si>
    <t>Sum of Units Sold</t>
  </si>
  <si>
    <t>Total Units Sold</t>
  </si>
  <si>
    <t>Average Units Per Day</t>
  </si>
  <si>
    <t>January</t>
  </si>
  <si>
    <t>February</t>
  </si>
  <si>
    <t>March</t>
  </si>
  <si>
    <t>April</t>
  </si>
  <si>
    <t>Month</t>
  </si>
  <si>
    <t>Revenue Per Month</t>
  </si>
  <si>
    <t>Sum of Revenue Per Month</t>
  </si>
  <si>
    <t xml:space="preserve">TOTAL REVENUE  -  ₱120,180                              </t>
  </si>
  <si>
    <t xml:space="preserve">TOTAL UNITS SOLD  -  1,161   </t>
  </si>
  <si>
    <t>AVERAGE REVENUE PER DAY - ₱1,252</t>
  </si>
  <si>
    <t>Sum</t>
  </si>
  <si>
    <t>Count</t>
  </si>
  <si>
    <t>Items</t>
  </si>
  <si>
    <t>Colors</t>
  </si>
  <si>
    <t>Quantity</t>
  </si>
  <si>
    <t>Sales</t>
  </si>
  <si>
    <t>Pencil</t>
  </si>
  <si>
    <t>Pencil Mark</t>
  </si>
  <si>
    <t>Pentelpen</t>
  </si>
  <si>
    <t>Paper</t>
  </si>
  <si>
    <t>Crayons</t>
  </si>
  <si>
    <t>Pen</t>
  </si>
  <si>
    <t>Tarpaulin</t>
  </si>
  <si>
    <t>Red</t>
  </si>
  <si>
    <t>Green</t>
  </si>
  <si>
    <t>Black</t>
  </si>
  <si>
    <t>Blue</t>
  </si>
  <si>
    <t>SUMIFS</t>
  </si>
  <si>
    <t>Any "Pen"</t>
  </si>
  <si>
    <t>John, Magno - 24</t>
  </si>
  <si>
    <t>Item</t>
  </si>
  <si>
    <t>Ed, Gubi - 28</t>
  </si>
  <si>
    <t>Jade, Kubi - 25</t>
  </si>
  <si>
    <t>Alroy, Kalungko - 21</t>
  </si>
  <si>
    <t>textafter and textbefore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</si>
</sst>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quot;* #,##0.00_-;\-&quot;₱&quot;* #,##0.00_-;_-&quot;₱&quot;* &quot;-&quot;??_-;_-@_-"/>
    <numFmt numFmtId="43" formatCode="_-* #,##0.00_-;\-* #,##0.00_-;_-* &quot;-&quot;??_-;_-@_-"/>
    <numFmt numFmtId="164" formatCode="_-[$$-409]* #,##0.00_ ;_-[$$-409]* \-#,##0.00\ ;_-[$$-409]* &quot;-&quot;??_ ;_-@_ "/>
    <numFmt numFmtId="165" formatCode="&quot;₱&quot;#,##0.00"/>
    <numFmt numFmtId="166" formatCode="&quot;₱&quot;#,##0"/>
    <numFmt numFmtId="167" formatCode="_-* #,##0_-;\-* #,##0_-;_-* &quot;-&quot;??_-;_-@_-"/>
  </numFmts>
  <fonts count="5" x14ac:knownFonts="1">
    <font>
      <sz val="11"/>
      <color theme="1"/>
      <name val="Aptos Narrow"/>
      <family val="2"/>
      <scheme val="minor"/>
    </font>
    <font>
      <sz val="11"/>
      <color theme="1"/>
      <name val="Aptos Narrow"/>
      <family val="2"/>
      <scheme val="minor"/>
    </font>
    <font>
      <b/>
      <sz val="11"/>
      <color theme="0"/>
      <name val="Aptos Narrow"/>
      <family val="2"/>
      <scheme val="minor"/>
    </font>
    <font>
      <b/>
      <sz val="11"/>
      <color theme="1"/>
      <name val="Aptos Narrow"/>
      <family val="2"/>
      <scheme val="minor"/>
    </font>
    <font>
      <b/>
      <sz val="24"/>
      <color theme="1"/>
      <name val="Aptos Narrow"/>
      <family val="2"/>
      <scheme val="minor"/>
    </font>
  </fonts>
  <fills count="8">
    <fill>
      <patternFill patternType="none"/>
    </fill>
    <fill>
      <patternFill patternType="gray125"/>
    </fill>
    <fill>
      <patternFill patternType="solid">
        <fgColor theme="9" tint="0.59999389629810485"/>
        <bgColor indexed="64"/>
      </patternFill>
    </fill>
    <fill>
      <patternFill patternType="solid">
        <fgColor theme="7" tint="0.59999389629810485"/>
        <bgColor indexed="64"/>
      </patternFill>
    </fill>
    <fill>
      <patternFill patternType="solid">
        <fgColor theme="7"/>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rgb="FFFFFFFF"/>
        <bgColor indexed="64"/>
      </patternFill>
    </fill>
  </fills>
  <borders count="1">
    <border>
      <left/>
      <right/>
      <top/>
      <bottom/>
      <diagonal/>
    </border>
  </borders>
  <cellStyleXfs count="3">
    <xf numFmtId="0" fontId="0" fillId="0" borderId="0"/>
    <xf numFmtId="44" fontId="1" fillId="0" borderId="0" applyFont="0" applyFill="0" applyBorder="0" applyAlignment="0" applyProtection="0"/>
    <xf numFmtId="43" fontId="1" fillId="0" borderId="0" applyFont="0" applyFill="0" applyBorder="0" applyAlignment="0" applyProtection="0"/>
  </cellStyleXfs>
  <cellXfs count="26">
    <xf numFmtId="0" fontId="0" fillId="0" borderId="0" xfId="0"/>
    <xf numFmtId="0" fontId="0" fillId="0" borderId="0" xfId="0" applyAlignment="1">
      <alignment vertical="center"/>
    </xf>
    <xf numFmtId="44" fontId="0" fillId="0" borderId="0" xfId="0" applyNumberFormat="1"/>
    <xf numFmtId="164" fontId="0" fillId="0" borderId="0" xfId="0" applyNumberFormat="1"/>
    <xf numFmtId="16" fontId="0" fillId="0" borderId="0" xfId="0" applyNumberFormat="1"/>
    <xf numFmtId="0" fontId="0" fillId="0" borderId="0" xfId="1" applyNumberFormat="1" applyFont="1"/>
    <xf numFmtId="164" fontId="0" fillId="2" borderId="0" xfId="0" applyNumberFormat="1" applyFill="1"/>
    <xf numFmtId="164" fontId="0" fillId="3" borderId="0" xfId="0" applyNumberFormat="1" applyFill="1"/>
    <xf numFmtId="0" fontId="2" fillId="4" borderId="0" xfId="0" applyFont="1" applyFill="1"/>
    <xf numFmtId="0" fontId="0" fillId="5" borderId="0" xfId="0" applyFill="1"/>
    <xf numFmtId="164" fontId="0" fillId="5" borderId="0" xfId="0" applyNumberFormat="1" applyFill="1"/>
    <xf numFmtId="0" fontId="3" fillId="0" borderId="0" xfId="0" applyFont="1"/>
    <xf numFmtId="0" fontId="3" fillId="0" borderId="0" xfId="0" applyFont="1" applyAlignment="1">
      <alignment horizontal="center"/>
    </xf>
    <xf numFmtId="165" fontId="0" fillId="0" borderId="0" xfId="0" applyNumberFormat="1"/>
    <xf numFmtId="166" fontId="0" fillId="0" borderId="0" xfId="0" applyNumberFormat="1"/>
    <xf numFmtId="0" fontId="0" fillId="0" borderId="0" xfId="0" pivotButton="1"/>
    <xf numFmtId="0" fontId="0" fillId="0" borderId="0" xfId="0" applyAlignment="1">
      <alignment horizontal="left"/>
    </xf>
    <xf numFmtId="1" fontId="0" fillId="0" borderId="0" xfId="0" applyNumberFormat="1"/>
    <xf numFmtId="167" fontId="0" fillId="0" borderId="0" xfId="2" applyNumberFormat="1" applyFont="1"/>
    <xf numFmtId="0" fontId="4" fillId="0" borderId="0" xfId="0" applyFont="1"/>
    <xf numFmtId="0" fontId="0" fillId="6" borderId="0" xfId="0" applyFill="1"/>
    <xf numFmtId="0" fontId="0" fillId="7" borderId="0" xfId="0" applyFill="1"/>
    <xf numFmtId="0" fontId="4" fillId="0" borderId="0" xfId="0" applyFont="1"/>
    <xf numFmtId="0" fontId="4" fillId="0" borderId="0" xfId="0" applyFont="1" applyAlignment="1">
      <alignment horizontal="left"/>
    </xf>
    <xf numFmtId="14" fontId="0" fillId="0" borderId="0" xfId="0" applyNumberFormat="1"/>
    <xf numFmtId="0" fontId="0" fillId="0" borderId="0" xfId="0" applyAlignment="1">
      <alignment horizontal="center"/>
    </xf>
  </cellXfs>
  <cellStyles count="3">
    <cellStyle name="Comma" xfId="2" builtinId="3"/>
    <cellStyle name="Currency" xfId="1" builtinId="4"/>
    <cellStyle name="Normal" xfId="0" builtinId="0"/>
  </cellStyles>
  <dxfs count="5">
    <dxf>
      <numFmt numFmtId="166" formatCode="&quot;₱&quot;#,##0"/>
    </dxf>
    <dxf>
      <numFmt numFmtId="166" formatCode="&quot;₱&quot;#,##0"/>
    </dxf>
    <dxf>
      <font>
        <b/>
        <i val="0"/>
        <strike val="0"/>
        <condense val="0"/>
        <extend val="0"/>
        <outline val="0"/>
        <shadow val="0"/>
        <u val="none"/>
        <vertAlign val="baseline"/>
        <sz val="11"/>
        <color theme="1"/>
        <name val="Aptos Narrow"/>
        <family val="2"/>
        <scheme val="minor"/>
      </font>
    </dxf>
    <dxf>
      <numFmt numFmtId="164" formatCode="_-[$$-409]* #,##0.00_ ;_-[$$-409]* \-#,##0.00\ ;_-[$$-409]* &quot;-&quot;??_ ;_-@_ "/>
    </dxf>
    <dxf>
      <numFmt numFmtId="164" formatCode="_-[$$-409]* #,##0.00_ ;_-[$$-409]* \-#,##0.00\ ;_-[$$-409]* &quot;-&quot;??_ ;_-@_ "/>
    </dxf>
  </dxfs>
  <tableStyles count="0" defaultTableStyle="TableStyleMedium2" defaultPivotStyle="PivotStyleLight16"/>
  <colors>
    <mruColors>
      <color rgb="FFFEA39C"/>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17/10/relationships/person" Target="persons/perso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Practice.xlsx]Sheet2!PivotTable1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a:t>
            </a:r>
            <a:r>
              <a:rPr lang="en-US" baseline="0"/>
              <a:t> Product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Sheet2!$A$4:$A$8</c:f>
              <c:strCache>
                <c:ptCount val="4"/>
                <c:pt idx="0">
                  <c:v>Clothing</c:v>
                </c:pt>
                <c:pt idx="1">
                  <c:v>Electronics</c:v>
                </c:pt>
                <c:pt idx="2">
                  <c:v>Furniture</c:v>
                </c:pt>
                <c:pt idx="3">
                  <c:v>Groceries</c:v>
                </c:pt>
              </c:strCache>
            </c:strRef>
          </c:cat>
          <c:val>
            <c:numRef>
              <c:f>Sheet2!$B$4:$B$8</c:f>
              <c:numCache>
                <c:formatCode>"₱"#,##0</c:formatCode>
                <c:ptCount val="4"/>
                <c:pt idx="0">
                  <c:v>20940</c:v>
                </c:pt>
                <c:pt idx="1">
                  <c:v>36000</c:v>
                </c:pt>
                <c:pt idx="2">
                  <c:v>48950</c:v>
                </c:pt>
                <c:pt idx="3">
                  <c:v>14290</c:v>
                </c:pt>
              </c:numCache>
            </c:numRef>
          </c:val>
          <c:extLst>
            <c:ext xmlns:c16="http://schemas.microsoft.com/office/drawing/2014/chart" uri="{C3380CC4-5D6E-409C-BE32-E72D297353CC}">
              <c16:uniqueId val="{00000000-C30F-4CC3-9145-665615DA3ED0}"/>
            </c:ext>
          </c:extLst>
        </c:ser>
        <c:dLbls>
          <c:showLegendKey val="0"/>
          <c:showVal val="0"/>
          <c:showCatName val="0"/>
          <c:showSerName val="0"/>
          <c:showPercent val="0"/>
          <c:showBubbleSize val="0"/>
        </c:dLbls>
        <c:gapWidth val="219"/>
        <c:overlap val="-27"/>
        <c:axId val="902613568"/>
        <c:axId val="902614048"/>
      </c:barChart>
      <c:catAx>
        <c:axId val="902613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2614048"/>
        <c:crosses val="autoZero"/>
        <c:auto val="1"/>
        <c:lblAlgn val="ctr"/>
        <c:lblOffset val="100"/>
        <c:noMultiLvlLbl val="0"/>
      </c:catAx>
      <c:valAx>
        <c:axId val="90261404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2613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Practice.xlsx]Sheet4!PivotTable3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a:t>Revenue</a:t>
            </a:r>
            <a:r>
              <a:rPr lang="en-PH" baseline="0"/>
              <a:t> Trend Over Time</a:t>
            </a:r>
            <a:endParaRPr lang="en-PH"/>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H"/>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Sheet4!$B$3</c:f>
              <c:strCache>
                <c:ptCount val="1"/>
                <c:pt idx="0">
                  <c:v>Total</c:v>
                </c:pt>
              </c:strCache>
            </c:strRef>
          </c:tx>
          <c:spPr>
            <a:ln w="28575" cap="rnd">
              <a:solidFill>
                <a:schemeClr val="accent1"/>
              </a:solidFill>
              <a:round/>
            </a:ln>
            <a:effectLst/>
          </c:spPr>
          <c:marker>
            <c:symbol val="none"/>
          </c:marker>
          <c:cat>
            <c:strRef>
              <c:f>Sheet4!$A$4:$A$6</c:f>
              <c:strCache>
                <c:ptCount val="2"/>
                <c:pt idx="0">
                  <c:v>January</c:v>
                </c:pt>
                <c:pt idx="1">
                  <c:v>February</c:v>
                </c:pt>
              </c:strCache>
            </c:strRef>
          </c:cat>
          <c:val>
            <c:numRef>
              <c:f>Sheet4!$B$4:$B$6</c:f>
              <c:numCache>
                <c:formatCode>"₱"#,##0</c:formatCode>
                <c:ptCount val="2"/>
                <c:pt idx="0">
                  <c:v>30630</c:v>
                </c:pt>
                <c:pt idx="1">
                  <c:v>31680</c:v>
                </c:pt>
              </c:numCache>
            </c:numRef>
          </c:val>
          <c:smooth val="0"/>
          <c:extLst>
            <c:ext xmlns:c16="http://schemas.microsoft.com/office/drawing/2014/chart" uri="{C3380CC4-5D6E-409C-BE32-E72D297353CC}">
              <c16:uniqueId val="{00000000-89B9-4298-9775-2AC002C4BBED}"/>
            </c:ext>
          </c:extLst>
        </c:ser>
        <c:dLbls>
          <c:showLegendKey val="0"/>
          <c:showVal val="0"/>
          <c:showCatName val="0"/>
          <c:showSerName val="0"/>
          <c:showPercent val="0"/>
          <c:showBubbleSize val="0"/>
        </c:dLbls>
        <c:smooth val="0"/>
        <c:axId val="1127990800"/>
        <c:axId val="1127989360"/>
      </c:lineChart>
      <c:catAx>
        <c:axId val="1127990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7989360"/>
        <c:crosses val="autoZero"/>
        <c:auto val="1"/>
        <c:lblAlgn val="ctr"/>
        <c:lblOffset val="100"/>
        <c:noMultiLvlLbl val="0"/>
      </c:catAx>
      <c:valAx>
        <c:axId val="112798936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7990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Practice.xlsx]Sheet5!PivotTable4</c:name>
    <c:fmtId val="2"/>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Units sold by product</a:t>
            </a:r>
            <a:r>
              <a:rPr lang="en-US" baseline="0"/>
              <a:t> category</a:t>
            </a:r>
            <a:endParaRPr lang="en-US"/>
          </a:p>
        </c:rich>
      </c:tx>
      <c:overlay val="0"/>
      <c:spPr>
        <a:noFill/>
        <a:ln>
          <a:noFill/>
        </a:ln>
        <a:effectLst/>
      </c:spPr>
    </c:title>
    <c:autoTitleDeleted val="0"/>
    <c:pivotFmts>
      <c:pivotFmt>
        <c:idx val="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63500" sx="102000" sy="102000" algn="ctr" rotWithShape="0">
              <a:prstClr val="black">
                <a:alpha val="20000"/>
              </a:prstClr>
            </a:outerShdw>
          </a:effectLst>
        </c:spPr>
      </c:pivotFmt>
      <c:pivotFmt>
        <c:idx val="2"/>
        <c:spPr>
          <a:solidFill>
            <a:schemeClr val="accent2"/>
          </a:solidFill>
          <a:ln>
            <a:noFill/>
          </a:ln>
          <a:effectLst>
            <a:outerShdw blurRad="63500" sx="102000" sy="102000" algn="ctr" rotWithShape="0">
              <a:prstClr val="black">
                <a:alpha val="20000"/>
              </a:prstClr>
            </a:outerShdw>
          </a:effectLst>
        </c:spPr>
      </c:pivotFmt>
      <c:pivotFmt>
        <c:idx val="3"/>
        <c:spPr>
          <a:solidFill>
            <a:schemeClr val="accent3"/>
          </a:solidFill>
          <a:ln>
            <a:noFill/>
          </a:ln>
          <a:effectLst>
            <a:outerShdw blurRad="63500" sx="102000" sy="102000" algn="ctr" rotWithShape="0">
              <a:prstClr val="black">
                <a:alpha val="20000"/>
              </a:prstClr>
            </a:outerShdw>
          </a:effectLst>
        </c:spPr>
      </c:pivotFmt>
      <c:pivotFmt>
        <c:idx val="4"/>
        <c:spPr>
          <a:solidFill>
            <a:schemeClr val="accent4"/>
          </a:solidFill>
          <a:ln>
            <a:noFill/>
          </a:ln>
          <a:effectLst>
            <a:outerShdw blurRad="63500" sx="102000" sy="102000" algn="ctr" rotWithShape="0">
              <a:prstClr val="black">
                <a:alpha val="20000"/>
              </a:prstClr>
            </a:outerShdw>
          </a:effectLst>
        </c:spPr>
      </c:pivotFmt>
    </c:pivotFmts>
    <c:plotArea>
      <c:layout/>
      <c:barChart>
        <c:barDir val="col"/>
        <c:grouping val="clustered"/>
        <c:varyColors val="0"/>
        <c:ser>
          <c:idx val="0"/>
          <c:order val="0"/>
          <c:tx>
            <c:strRef>
              <c:f>Sheet5!$B$3</c:f>
              <c:strCache>
                <c:ptCount val="1"/>
                <c:pt idx="0">
                  <c:v>Total</c:v>
                </c:pt>
              </c:strCache>
            </c:strRef>
          </c:tx>
          <c:invertIfNegative val="0"/>
          <c:dPt>
            <c:idx val="0"/>
            <c:invertIfNegative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2-E738-4A05-8FD0-BFC57625BEAD}"/>
              </c:ext>
            </c:extLst>
          </c:dPt>
          <c:dPt>
            <c:idx val="1"/>
            <c:invertIfNegative val="0"/>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E738-4A05-8FD0-BFC57625BEAD}"/>
              </c:ext>
            </c:extLst>
          </c:dPt>
          <c:dPt>
            <c:idx val="2"/>
            <c:invertIfNegative val="0"/>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4-E738-4A05-8FD0-BFC57625BEAD}"/>
              </c:ext>
            </c:extLst>
          </c:dPt>
          <c:dPt>
            <c:idx val="3"/>
            <c:invertIfNegative val="0"/>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E738-4A05-8FD0-BFC57625BEAD}"/>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Sheet5!$A$4:$A$8</c:f>
              <c:strCache>
                <c:ptCount val="4"/>
                <c:pt idx="0">
                  <c:v>Clothing</c:v>
                </c:pt>
                <c:pt idx="1">
                  <c:v>Electronics</c:v>
                </c:pt>
                <c:pt idx="2">
                  <c:v>Furniture</c:v>
                </c:pt>
                <c:pt idx="3">
                  <c:v>Groceries</c:v>
                </c:pt>
              </c:strCache>
            </c:strRef>
          </c:cat>
          <c:val>
            <c:numRef>
              <c:f>Sheet5!$B$4:$B$8</c:f>
              <c:numCache>
                <c:formatCode>General</c:formatCode>
                <c:ptCount val="4"/>
                <c:pt idx="0">
                  <c:v>289</c:v>
                </c:pt>
                <c:pt idx="1">
                  <c:v>224</c:v>
                </c:pt>
                <c:pt idx="2">
                  <c:v>126</c:v>
                </c:pt>
                <c:pt idx="3">
                  <c:v>522</c:v>
                </c:pt>
              </c:numCache>
            </c:numRef>
          </c:val>
          <c:extLst>
            <c:ext xmlns:c16="http://schemas.microsoft.com/office/drawing/2014/chart" uri="{C3380CC4-5D6E-409C-BE32-E72D297353CC}">
              <c16:uniqueId val="{00000000-E738-4A05-8FD0-BFC57625BEAD}"/>
            </c:ext>
          </c:extLst>
        </c:ser>
        <c:dLbls>
          <c:showLegendKey val="0"/>
          <c:showVal val="0"/>
          <c:showCatName val="0"/>
          <c:showSerName val="0"/>
          <c:showPercent val="0"/>
          <c:showBubbleSize val="0"/>
        </c:dLbls>
        <c:gapWidth val="100"/>
        <c:axId val="231356784"/>
        <c:axId val="231361104"/>
      </c:barChart>
      <c:catAx>
        <c:axId val="231356784"/>
        <c:scaling>
          <c:orientation val="minMax"/>
        </c:scaling>
        <c:delete val="0"/>
        <c:axPos val="b"/>
        <c:numFmt formatCode="General" sourceLinked="1"/>
        <c:majorTickMark val="out"/>
        <c:minorTickMark val="none"/>
        <c:tickLblPos val="nextTo"/>
        <c:crossAx val="231361104"/>
        <c:crosses val="autoZero"/>
        <c:auto val="1"/>
        <c:lblAlgn val="ctr"/>
        <c:lblOffset val="100"/>
        <c:noMultiLvlLbl val="0"/>
      </c:catAx>
      <c:valAx>
        <c:axId val="231361104"/>
        <c:scaling>
          <c:orientation val="minMax"/>
        </c:scaling>
        <c:delete val="0"/>
        <c:axPos val="l"/>
        <c:majorGridlines/>
        <c:numFmt formatCode="General" sourceLinked="1"/>
        <c:majorTickMark val="out"/>
        <c:minorTickMark val="none"/>
        <c:tickLblPos val="nextTo"/>
        <c:crossAx val="231356784"/>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Practice.xlsx]Sheet2!PivotTable1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a:t>
            </a:r>
            <a:r>
              <a:rPr lang="en-US" baseline="0"/>
              <a:t> Product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Sheet2!$A$4:$A$8</c:f>
              <c:strCache>
                <c:ptCount val="4"/>
                <c:pt idx="0">
                  <c:v>Clothing</c:v>
                </c:pt>
                <c:pt idx="1">
                  <c:v>Electronics</c:v>
                </c:pt>
                <c:pt idx="2">
                  <c:v>Furniture</c:v>
                </c:pt>
                <c:pt idx="3">
                  <c:v>Groceries</c:v>
                </c:pt>
              </c:strCache>
            </c:strRef>
          </c:cat>
          <c:val>
            <c:numRef>
              <c:f>Sheet2!$B$4:$B$8</c:f>
              <c:numCache>
                <c:formatCode>"₱"#,##0</c:formatCode>
                <c:ptCount val="4"/>
                <c:pt idx="0">
                  <c:v>20940</c:v>
                </c:pt>
                <c:pt idx="1">
                  <c:v>36000</c:v>
                </c:pt>
                <c:pt idx="2">
                  <c:v>48950</c:v>
                </c:pt>
                <c:pt idx="3">
                  <c:v>14290</c:v>
                </c:pt>
              </c:numCache>
            </c:numRef>
          </c:val>
          <c:extLst>
            <c:ext xmlns:c16="http://schemas.microsoft.com/office/drawing/2014/chart" uri="{C3380CC4-5D6E-409C-BE32-E72D297353CC}">
              <c16:uniqueId val="{00000000-23AE-43EA-B567-2486A7B46D7B}"/>
            </c:ext>
          </c:extLst>
        </c:ser>
        <c:dLbls>
          <c:showLegendKey val="0"/>
          <c:showVal val="0"/>
          <c:showCatName val="0"/>
          <c:showSerName val="0"/>
          <c:showPercent val="0"/>
          <c:showBubbleSize val="0"/>
        </c:dLbls>
        <c:gapWidth val="219"/>
        <c:overlap val="-27"/>
        <c:axId val="902613568"/>
        <c:axId val="902614048"/>
      </c:barChart>
      <c:catAx>
        <c:axId val="902613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2614048"/>
        <c:crosses val="autoZero"/>
        <c:auto val="1"/>
        <c:lblAlgn val="ctr"/>
        <c:lblOffset val="100"/>
        <c:noMultiLvlLbl val="0"/>
      </c:catAx>
      <c:valAx>
        <c:axId val="90261404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2613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Practice.xlsx]Sheet4!PivotTable3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a:t>Revenue</a:t>
            </a:r>
            <a:r>
              <a:rPr lang="en-PH" baseline="0"/>
              <a:t> Trend Over Time</a:t>
            </a:r>
            <a:endParaRPr lang="en-PH"/>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H"/>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Sheet4!$B$3</c:f>
              <c:strCache>
                <c:ptCount val="1"/>
                <c:pt idx="0">
                  <c:v>Total</c:v>
                </c:pt>
              </c:strCache>
            </c:strRef>
          </c:tx>
          <c:spPr>
            <a:ln w="28575" cap="rnd">
              <a:solidFill>
                <a:schemeClr val="accent1"/>
              </a:solidFill>
              <a:round/>
            </a:ln>
            <a:effectLst/>
          </c:spPr>
          <c:marker>
            <c:symbol val="none"/>
          </c:marker>
          <c:cat>
            <c:strRef>
              <c:f>Sheet4!$A$4:$A$6</c:f>
              <c:strCache>
                <c:ptCount val="2"/>
                <c:pt idx="0">
                  <c:v>January</c:v>
                </c:pt>
                <c:pt idx="1">
                  <c:v>February</c:v>
                </c:pt>
              </c:strCache>
            </c:strRef>
          </c:cat>
          <c:val>
            <c:numRef>
              <c:f>Sheet4!$B$4:$B$6</c:f>
              <c:numCache>
                <c:formatCode>"₱"#,##0</c:formatCode>
                <c:ptCount val="2"/>
                <c:pt idx="0">
                  <c:v>30630</c:v>
                </c:pt>
                <c:pt idx="1">
                  <c:v>31680</c:v>
                </c:pt>
              </c:numCache>
            </c:numRef>
          </c:val>
          <c:smooth val="0"/>
          <c:extLst>
            <c:ext xmlns:c16="http://schemas.microsoft.com/office/drawing/2014/chart" uri="{C3380CC4-5D6E-409C-BE32-E72D297353CC}">
              <c16:uniqueId val="{00000000-D601-4B12-AA7C-70A756BD1E83}"/>
            </c:ext>
          </c:extLst>
        </c:ser>
        <c:dLbls>
          <c:showLegendKey val="0"/>
          <c:showVal val="0"/>
          <c:showCatName val="0"/>
          <c:showSerName val="0"/>
          <c:showPercent val="0"/>
          <c:showBubbleSize val="0"/>
        </c:dLbls>
        <c:smooth val="0"/>
        <c:axId val="1127990800"/>
        <c:axId val="1127989360"/>
      </c:lineChart>
      <c:catAx>
        <c:axId val="1127990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7989360"/>
        <c:crosses val="autoZero"/>
        <c:auto val="1"/>
        <c:lblAlgn val="ctr"/>
        <c:lblOffset val="100"/>
        <c:noMultiLvlLbl val="0"/>
      </c:catAx>
      <c:valAx>
        <c:axId val="112798936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7990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Practice.xlsx]Sheet5!PivotTable4</c:name>
    <c:fmtId val="19"/>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Units sold by product</a:t>
            </a:r>
            <a:r>
              <a:rPr lang="en-US" baseline="0"/>
              <a:t> category</a:t>
            </a:r>
            <a:endParaRPr lang="en-US"/>
          </a:p>
        </c:rich>
      </c:tx>
      <c:overlay val="0"/>
      <c:spPr>
        <a:noFill/>
        <a:ln>
          <a:noFill/>
        </a:ln>
        <a:effectLst/>
      </c:spPr>
    </c:title>
    <c:autoTitleDeleted val="0"/>
    <c:pivotFmts>
      <c:pivotFmt>
        <c:idx val="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63500" sx="102000" sy="102000" algn="ctr" rotWithShape="0">
              <a:prstClr val="black">
                <a:alpha val="20000"/>
              </a:prstClr>
            </a:outerShdw>
          </a:effectLst>
        </c:spPr>
      </c:pivotFmt>
      <c:pivotFmt>
        <c:idx val="2"/>
        <c:spPr>
          <a:solidFill>
            <a:schemeClr val="accent2"/>
          </a:solidFill>
          <a:ln>
            <a:noFill/>
          </a:ln>
          <a:effectLst>
            <a:outerShdw blurRad="63500" sx="102000" sy="102000" algn="ctr" rotWithShape="0">
              <a:prstClr val="black">
                <a:alpha val="20000"/>
              </a:prstClr>
            </a:outerShdw>
          </a:effectLst>
        </c:spPr>
      </c:pivotFmt>
      <c:pivotFmt>
        <c:idx val="3"/>
        <c:spPr>
          <a:solidFill>
            <a:schemeClr val="accent3"/>
          </a:solidFill>
          <a:ln>
            <a:noFill/>
          </a:ln>
          <a:effectLst>
            <a:outerShdw blurRad="63500" sx="102000" sy="102000" algn="ctr" rotWithShape="0">
              <a:prstClr val="black">
                <a:alpha val="20000"/>
              </a:prstClr>
            </a:outerShdw>
          </a:effectLst>
        </c:spPr>
      </c:pivotFmt>
      <c:pivotFmt>
        <c:idx val="4"/>
        <c:spPr>
          <a:solidFill>
            <a:schemeClr val="accent4"/>
          </a:solidFill>
          <a:ln>
            <a:noFill/>
          </a:ln>
          <a:effectLst>
            <a:outerShdw blurRad="63500" sx="102000" sy="102000" algn="ctr" rotWithShape="0">
              <a:prstClr val="black">
                <a:alpha val="20000"/>
              </a:prstClr>
            </a:outerShdw>
          </a:effectLst>
        </c:spPr>
      </c:pivotFmt>
      <c:pivotFmt>
        <c:idx val="5"/>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outerShdw blurRad="63500" sx="102000" sy="102000" algn="ctr" rotWithShape="0">
              <a:prstClr val="black">
                <a:alpha val="20000"/>
              </a:prstClr>
            </a:outerShdw>
          </a:effectLst>
        </c:spPr>
      </c:pivotFmt>
      <c:pivotFmt>
        <c:idx val="7"/>
        <c:spPr>
          <a:solidFill>
            <a:schemeClr val="accent2"/>
          </a:solidFill>
          <a:ln>
            <a:noFill/>
          </a:ln>
          <a:effectLst>
            <a:outerShdw blurRad="63500" sx="102000" sy="102000" algn="ctr" rotWithShape="0">
              <a:prstClr val="black">
                <a:alpha val="20000"/>
              </a:prstClr>
            </a:outerShdw>
          </a:effectLst>
        </c:spPr>
      </c:pivotFmt>
      <c:pivotFmt>
        <c:idx val="8"/>
        <c:spPr>
          <a:solidFill>
            <a:schemeClr val="accent3"/>
          </a:solidFill>
          <a:ln>
            <a:noFill/>
          </a:ln>
          <a:effectLst>
            <a:outerShdw blurRad="63500" sx="102000" sy="102000" algn="ctr" rotWithShape="0">
              <a:prstClr val="black">
                <a:alpha val="20000"/>
              </a:prstClr>
            </a:outerShdw>
          </a:effectLst>
        </c:spPr>
      </c:pivotFmt>
      <c:pivotFmt>
        <c:idx val="9"/>
        <c:spPr>
          <a:solidFill>
            <a:schemeClr val="accent4"/>
          </a:solidFill>
          <a:ln>
            <a:noFill/>
          </a:ln>
          <a:effectLst>
            <a:outerShdw blurRad="63500" sx="102000" sy="102000" algn="ctr" rotWithShape="0">
              <a:prstClr val="black">
                <a:alpha val="20000"/>
              </a:prstClr>
            </a:outerShdw>
          </a:effectLst>
        </c:spPr>
      </c:pivotFmt>
      <c:pivotFmt>
        <c:idx val="1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outerShdw blurRad="63500" sx="102000" sy="102000" algn="ctr" rotWithShape="0">
              <a:prstClr val="black">
                <a:alpha val="20000"/>
              </a:prstClr>
            </a:outerShdw>
          </a:effectLst>
        </c:spPr>
      </c:pivotFmt>
      <c:pivotFmt>
        <c:idx val="12"/>
        <c:spPr>
          <a:solidFill>
            <a:schemeClr val="accent2"/>
          </a:solidFill>
          <a:ln>
            <a:noFill/>
          </a:ln>
          <a:effectLst>
            <a:outerShdw blurRad="63500" sx="102000" sy="102000" algn="ctr" rotWithShape="0">
              <a:prstClr val="black">
                <a:alpha val="20000"/>
              </a:prstClr>
            </a:outerShdw>
          </a:effectLst>
        </c:spPr>
      </c:pivotFmt>
      <c:pivotFmt>
        <c:idx val="13"/>
        <c:spPr>
          <a:solidFill>
            <a:schemeClr val="accent3"/>
          </a:solidFill>
          <a:ln>
            <a:noFill/>
          </a:ln>
          <a:effectLst>
            <a:outerShdw blurRad="63500" sx="102000" sy="102000" algn="ctr" rotWithShape="0">
              <a:prstClr val="black">
                <a:alpha val="20000"/>
              </a:prstClr>
            </a:outerShdw>
          </a:effectLst>
        </c:spPr>
      </c:pivotFmt>
      <c:pivotFmt>
        <c:idx val="14"/>
        <c:spPr>
          <a:solidFill>
            <a:schemeClr val="accent4"/>
          </a:solidFill>
          <a:ln>
            <a:noFill/>
          </a:ln>
          <a:effectLst>
            <a:outerShdw blurRad="63500" sx="102000" sy="102000" algn="ctr" rotWithShape="0">
              <a:prstClr val="black">
                <a:alpha val="20000"/>
              </a:prstClr>
            </a:outerShdw>
          </a:effectLst>
        </c:spPr>
      </c:pivotFmt>
    </c:pivotFmts>
    <c:plotArea>
      <c:layout/>
      <c:barChart>
        <c:barDir val="col"/>
        <c:grouping val="clustered"/>
        <c:varyColors val="0"/>
        <c:ser>
          <c:idx val="0"/>
          <c:order val="0"/>
          <c:tx>
            <c:strRef>
              <c:f>Sheet5!$B$3</c:f>
              <c:strCache>
                <c:ptCount val="1"/>
                <c:pt idx="0">
                  <c:v>Total</c:v>
                </c:pt>
              </c:strCache>
            </c:strRef>
          </c:tx>
          <c:invertIfNegative val="0"/>
          <c:dPt>
            <c:idx val="0"/>
            <c:invertIfNegative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61B7-4D58-81E1-D252DDA480E9}"/>
              </c:ext>
            </c:extLst>
          </c:dPt>
          <c:dPt>
            <c:idx val="1"/>
            <c:invertIfNegative val="0"/>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61B7-4D58-81E1-D252DDA480E9}"/>
              </c:ext>
            </c:extLst>
          </c:dPt>
          <c:dPt>
            <c:idx val="2"/>
            <c:invertIfNegative val="0"/>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61B7-4D58-81E1-D252DDA480E9}"/>
              </c:ext>
            </c:extLst>
          </c:dPt>
          <c:dPt>
            <c:idx val="3"/>
            <c:invertIfNegative val="0"/>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61B7-4D58-81E1-D252DDA480E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Sheet5!$A$4:$A$8</c:f>
              <c:strCache>
                <c:ptCount val="4"/>
                <c:pt idx="0">
                  <c:v>Clothing</c:v>
                </c:pt>
                <c:pt idx="1">
                  <c:v>Electronics</c:v>
                </c:pt>
                <c:pt idx="2">
                  <c:v>Furniture</c:v>
                </c:pt>
                <c:pt idx="3">
                  <c:v>Groceries</c:v>
                </c:pt>
              </c:strCache>
            </c:strRef>
          </c:cat>
          <c:val>
            <c:numRef>
              <c:f>Sheet5!$B$4:$B$8</c:f>
              <c:numCache>
                <c:formatCode>General</c:formatCode>
                <c:ptCount val="4"/>
                <c:pt idx="0">
                  <c:v>289</c:v>
                </c:pt>
                <c:pt idx="1">
                  <c:v>224</c:v>
                </c:pt>
                <c:pt idx="2">
                  <c:v>126</c:v>
                </c:pt>
                <c:pt idx="3">
                  <c:v>522</c:v>
                </c:pt>
              </c:numCache>
            </c:numRef>
          </c:val>
          <c:extLst>
            <c:ext xmlns:c16="http://schemas.microsoft.com/office/drawing/2014/chart" uri="{C3380CC4-5D6E-409C-BE32-E72D297353CC}">
              <c16:uniqueId val="{00000008-61B7-4D58-81E1-D252DDA480E9}"/>
            </c:ext>
          </c:extLst>
        </c:ser>
        <c:dLbls>
          <c:showLegendKey val="0"/>
          <c:showVal val="0"/>
          <c:showCatName val="0"/>
          <c:showSerName val="0"/>
          <c:showPercent val="0"/>
          <c:showBubbleSize val="0"/>
        </c:dLbls>
        <c:gapWidth val="100"/>
        <c:axId val="231356784"/>
        <c:axId val="231361104"/>
      </c:barChart>
      <c:catAx>
        <c:axId val="231356784"/>
        <c:scaling>
          <c:orientation val="minMax"/>
        </c:scaling>
        <c:delete val="0"/>
        <c:axPos val="b"/>
        <c:numFmt formatCode="General" sourceLinked="1"/>
        <c:majorTickMark val="out"/>
        <c:minorTickMark val="none"/>
        <c:tickLblPos val="nextTo"/>
        <c:crossAx val="231361104"/>
        <c:crosses val="autoZero"/>
        <c:auto val="1"/>
        <c:lblAlgn val="ctr"/>
        <c:lblOffset val="100"/>
        <c:noMultiLvlLbl val="0"/>
      </c:catAx>
      <c:valAx>
        <c:axId val="231361104"/>
        <c:scaling>
          <c:orientation val="minMax"/>
        </c:scaling>
        <c:delete val="0"/>
        <c:axPos val="l"/>
        <c:majorGridlines/>
        <c:numFmt formatCode="General" sourceLinked="1"/>
        <c:majorTickMark val="out"/>
        <c:minorTickMark val="none"/>
        <c:tickLblPos val="nextTo"/>
        <c:crossAx val="231356784"/>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441960</xdr:colOff>
      <xdr:row>1</xdr:row>
      <xdr:rowOff>95250</xdr:rowOff>
    </xdr:from>
    <xdr:to>
      <xdr:col>8</xdr:col>
      <xdr:colOff>335280</xdr:colOff>
      <xdr:row>16</xdr:row>
      <xdr:rowOff>95250</xdr:rowOff>
    </xdr:to>
    <xdr:graphicFrame macro="">
      <xdr:nvGraphicFramePr>
        <xdr:cNvPr id="3" name="Chart 2">
          <a:extLst>
            <a:ext uri="{FF2B5EF4-FFF2-40B4-BE49-F238E27FC236}">
              <a16:creationId xmlns:a16="http://schemas.microsoft.com/office/drawing/2014/main" id="{16690DBC-0458-D015-7A2F-0E3F61D2DA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83820</xdr:colOff>
      <xdr:row>0</xdr:row>
      <xdr:rowOff>156210</xdr:rowOff>
    </xdr:from>
    <xdr:to>
      <xdr:col>10</xdr:col>
      <xdr:colOff>388620</xdr:colOff>
      <xdr:row>15</xdr:row>
      <xdr:rowOff>156210</xdr:rowOff>
    </xdr:to>
    <xdr:graphicFrame macro="">
      <xdr:nvGraphicFramePr>
        <xdr:cNvPr id="2" name="Chart 1">
          <a:extLst>
            <a:ext uri="{FF2B5EF4-FFF2-40B4-BE49-F238E27FC236}">
              <a16:creationId xmlns:a16="http://schemas.microsoft.com/office/drawing/2014/main" id="{98DDD03E-C2BE-2AEE-53DC-48714C18E8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190500</xdr:colOff>
      <xdr:row>1</xdr:row>
      <xdr:rowOff>106680</xdr:rowOff>
    </xdr:from>
    <xdr:to>
      <xdr:col>11</xdr:col>
      <xdr:colOff>495300</xdr:colOff>
      <xdr:row>16</xdr:row>
      <xdr:rowOff>106680</xdr:rowOff>
    </xdr:to>
    <xdr:graphicFrame macro="">
      <xdr:nvGraphicFramePr>
        <xdr:cNvPr id="3" name="Chart 2">
          <a:extLst>
            <a:ext uri="{FF2B5EF4-FFF2-40B4-BE49-F238E27FC236}">
              <a16:creationId xmlns:a16="http://schemas.microsoft.com/office/drawing/2014/main" id="{29162AE3-F75C-836B-30E1-A4F16F25D2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358140</xdr:colOff>
      <xdr:row>5</xdr:row>
      <xdr:rowOff>22860</xdr:rowOff>
    </xdr:from>
    <xdr:to>
      <xdr:col>12</xdr:col>
      <xdr:colOff>53340</xdr:colOff>
      <xdr:row>20</xdr:row>
      <xdr:rowOff>22860</xdr:rowOff>
    </xdr:to>
    <xdr:graphicFrame macro="">
      <xdr:nvGraphicFramePr>
        <xdr:cNvPr id="2" name="Chart 1">
          <a:extLst>
            <a:ext uri="{FF2B5EF4-FFF2-40B4-BE49-F238E27FC236}">
              <a16:creationId xmlns:a16="http://schemas.microsoft.com/office/drawing/2014/main" id="{75C88F1F-4880-4EEC-AFF4-C00E18483D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7620</xdr:colOff>
      <xdr:row>20</xdr:row>
      <xdr:rowOff>68580</xdr:rowOff>
    </xdr:from>
    <xdr:to>
      <xdr:col>20</xdr:col>
      <xdr:colOff>312420</xdr:colOff>
      <xdr:row>35</xdr:row>
      <xdr:rowOff>68580</xdr:rowOff>
    </xdr:to>
    <xdr:graphicFrame macro="">
      <xdr:nvGraphicFramePr>
        <xdr:cNvPr id="3" name="Chart 2">
          <a:extLst>
            <a:ext uri="{FF2B5EF4-FFF2-40B4-BE49-F238E27FC236}">
              <a16:creationId xmlns:a16="http://schemas.microsoft.com/office/drawing/2014/main" id="{DD35830F-DF7B-4ACB-ADCA-1678A3AD24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76200</xdr:colOff>
      <xdr:row>5</xdr:row>
      <xdr:rowOff>15241</xdr:rowOff>
    </xdr:from>
    <xdr:to>
      <xdr:col>4</xdr:col>
      <xdr:colOff>0</xdr:colOff>
      <xdr:row>13</xdr:row>
      <xdr:rowOff>83821</xdr:rowOff>
    </xdr:to>
    <mc:AlternateContent xmlns:mc="http://schemas.openxmlformats.org/markup-compatibility/2006" xmlns:a14="http://schemas.microsoft.com/office/drawing/2010/main">
      <mc:Choice Requires="a14">
        <xdr:graphicFrame macro="">
          <xdr:nvGraphicFramePr>
            <xdr:cNvPr id="5" name="Product Category">
              <a:extLst>
                <a:ext uri="{FF2B5EF4-FFF2-40B4-BE49-F238E27FC236}">
                  <a16:creationId xmlns:a16="http://schemas.microsoft.com/office/drawing/2014/main" id="{C4F94A83-C210-6BDF-CE2B-97C9734653AC}"/>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76200" y="1089661"/>
              <a:ext cx="2362200" cy="1531620"/>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76200</xdr:colOff>
      <xdr:row>13</xdr:row>
      <xdr:rowOff>106680</xdr:rowOff>
    </xdr:from>
    <xdr:to>
      <xdr:col>4</xdr:col>
      <xdr:colOff>0</xdr:colOff>
      <xdr:row>22</xdr:row>
      <xdr:rowOff>167639</xdr:rowOff>
    </xdr:to>
    <mc:AlternateContent xmlns:mc="http://schemas.openxmlformats.org/markup-compatibility/2006" xmlns:a14="http://schemas.microsoft.com/office/drawing/2010/main">
      <mc:Choice Requires="a14">
        <xdr:graphicFrame macro="">
          <xdr:nvGraphicFramePr>
            <xdr:cNvPr id="7" name="Month">
              <a:extLst>
                <a:ext uri="{FF2B5EF4-FFF2-40B4-BE49-F238E27FC236}">
                  <a16:creationId xmlns:a16="http://schemas.microsoft.com/office/drawing/2014/main" id="{6A14602E-A920-C1F1-4932-69A7EEBD9477}"/>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76200" y="2644140"/>
              <a:ext cx="2362200" cy="1706879"/>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0</xdr:colOff>
      <xdr:row>5</xdr:row>
      <xdr:rowOff>30480</xdr:rowOff>
    </xdr:from>
    <xdr:to>
      <xdr:col>20</xdr:col>
      <xdr:colOff>304800</xdr:colOff>
      <xdr:row>20</xdr:row>
      <xdr:rowOff>68580</xdr:rowOff>
    </xdr:to>
    <xdr:graphicFrame macro="">
      <xdr:nvGraphicFramePr>
        <xdr:cNvPr id="6" name="Chart 5">
          <a:extLst>
            <a:ext uri="{FF2B5EF4-FFF2-40B4-BE49-F238E27FC236}">
              <a16:creationId xmlns:a16="http://schemas.microsoft.com/office/drawing/2014/main" id="{87DA9A45-2D85-4E08-8187-C10E7F0B8D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alou" refreshedDate="46125.780701620373" createdVersion="8" refreshedVersion="8" minRefreshableVersion="3" recordCount="96" xr:uid="{058E42BB-FE67-4A83-9D08-DF5E18820113}">
  <cacheSource type="worksheet">
    <worksheetSource name="Table2"/>
  </cacheSource>
  <cacheFields count="4">
    <cacheField name="Date" numFmtId="0">
      <sharedItems count="96">
        <s v="2025-01-01"/>
        <s v="2025-01-02"/>
        <s v="2025-01-03"/>
        <s v="2025-01-04"/>
        <s v="2025-01-05"/>
        <s v="2025-01-06"/>
        <s v="2025-01-07"/>
        <s v="2025-01-08"/>
        <s v="2025-01-09"/>
        <s v="2025-01-10"/>
        <s v="2025-01-11"/>
        <s v="2025-01-12"/>
        <s v="2025-01-13"/>
        <s v="2025-01-14"/>
        <s v="2025-01-15"/>
        <s v="2025-01-16"/>
        <s v="2025-01-17"/>
        <s v="2025-01-18"/>
        <s v="2025-01-19"/>
        <s v="2025-01-20"/>
        <s v="2025-01-21"/>
        <s v="2025-01-22"/>
        <s v="2025-01-23"/>
        <s v="2025-01-24"/>
        <s v="2025-01-25"/>
        <s v="2025-01-26"/>
        <s v="2025-01-27"/>
        <s v="2025-01-28"/>
        <s v="2025-01-29"/>
        <s v="2025-01-30"/>
        <s v="2025-01-31"/>
        <s v="2025-02-01"/>
        <s v="2025-02-02"/>
        <s v="2025-02-03"/>
        <s v="2025-02-04"/>
        <s v="2025-02-05"/>
        <s v="2025-02-06"/>
        <s v="2025-02-07"/>
        <s v="2025-02-08"/>
        <s v="2025-02-09"/>
        <s v="2025-02-10"/>
        <s v="2025-02-11"/>
        <s v="2025-02-12"/>
        <s v="2025-02-13"/>
        <s v="2025-02-14"/>
        <s v="2025-02-15"/>
        <s v="2025-02-16"/>
        <s v="2025-02-17"/>
        <s v="2025-02-18"/>
        <s v="2025-02-19"/>
        <s v="2025-02-20"/>
        <s v="2025-02-21"/>
        <s v="2025-02-22"/>
        <s v="2025-02-23"/>
        <s v="2025-02-24"/>
        <s v="2025-02-25"/>
        <s v="2025-02-26"/>
        <s v="2025-02-27"/>
        <s v="2025-02-28"/>
        <s v="2025-03-01"/>
        <s v="2025-03-02"/>
        <s v="2025-03-03"/>
        <s v="2025-03-04"/>
        <s v="2025-03-05"/>
        <s v="2025-03-06"/>
        <s v="2025-03-07"/>
        <s v="2025-03-08"/>
        <s v="2025-03-09"/>
        <s v="2025-03-10"/>
        <s v="2025-03-11"/>
        <s v="2025-03-12"/>
        <s v="2025-03-13"/>
        <s v="2025-03-14"/>
        <s v="2025-03-15"/>
        <s v="2025-03-16"/>
        <s v="2025-03-17"/>
        <s v="2025-03-18"/>
        <s v="2025-03-19"/>
        <s v="2025-03-20"/>
        <s v="2025-03-21"/>
        <s v="2025-03-22"/>
        <s v="2025-03-23"/>
        <s v="2025-03-24"/>
        <s v="2025-03-25"/>
        <s v="2025-03-26"/>
        <s v="2025-03-27"/>
        <s v="2025-03-28"/>
        <s v="2025-03-29"/>
        <s v="2025-03-30"/>
        <s v="2025-03-31"/>
        <s v="2025-04-01"/>
        <s v="2025-04-02"/>
        <s v="2025-04-03"/>
        <s v="2025-04-04"/>
        <s v="2025-04-05"/>
        <s v="2025-04-06"/>
      </sharedItems>
    </cacheField>
    <cacheField name="Product Category" numFmtId="0">
      <sharedItems count="4">
        <s v="Electronics"/>
        <s v="Clothing"/>
        <s v="Groceries"/>
        <s v="Furniture"/>
      </sharedItems>
    </cacheField>
    <cacheField name="Units Sold" numFmtId="0">
      <sharedItems containsSemiMixedTypes="0" containsString="0" containsNumber="1" containsInteger="1" minValue="3" maxValue="32" count="30">
        <n v="6"/>
        <n v="10"/>
        <n v="15"/>
        <n v="3"/>
        <n v="5"/>
        <n v="9"/>
        <n v="18"/>
        <n v="4"/>
        <n v="8"/>
        <n v="16"/>
        <n v="7"/>
        <n v="17"/>
        <n v="19"/>
        <n v="14"/>
        <n v="11"/>
        <n v="20"/>
        <n v="12"/>
        <n v="21"/>
        <n v="22"/>
        <n v="13"/>
        <n v="23"/>
        <n v="24"/>
        <n v="25"/>
        <n v="26"/>
        <n v="27"/>
        <n v="28"/>
        <n v="29"/>
        <n v="30"/>
        <n v="31"/>
        <n v="32"/>
      </sharedItems>
    </cacheField>
    <cacheField name="Revenue" numFmtId="166">
      <sharedItems containsSemiMixedTypes="0" containsString="0" containsNumber="1" containsInteger="1" minValue="450" maxValue="3000" count="68">
        <n v="1200"/>
        <n v="800"/>
        <n v="450"/>
        <n v="1500"/>
        <n v="900"/>
        <n v="700"/>
        <n v="500"/>
        <n v="1800"/>
        <n v="1100"/>
        <n v="650"/>
        <n v="480"/>
        <n v="1700"/>
        <n v="1300"/>
        <n v="720"/>
        <n v="510"/>
        <n v="1600"/>
        <n v="1250"/>
        <n v="780"/>
        <n v="530"/>
        <n v="1400"/>
        <n v="1000"/>
        <n v="690"/>
        <n v="470"/>
        <n v="1550"/>
        <n v="1350"/>
        <n v="810"/>
        <n v="490"/>
        <n v="1650"/>
        <n v="830"/>
        <n v="520"/>
        <n v="1750"/>
        <n v="1150"/>
        <n v="760"/>
        <n v="460"/>
        <n v="540"/>
        <n v="1450"/>
        <n v="820"/>
        <n v="560"/>
        <n v="850"/>
        <n v="580"/>
        <n v="1900"/>
        <n v="870"/>
        <n v="600"/>
        <n v="2000"/>
        <n v="620"/>
        <n v="2100"/>
        <n v="920"/>
        <n v="640"/>
        <n v="2200"/>
        <n v="950"/>
        <n v="660"/>
        <n v="2300"/>
        <n v="970"/>
        <n v="680"/>
        <n v="2400"/>
        <n v="2500"/>
        <n v="1850"/>
        <n v="1020"/>
        <n v="2600"/>
        <n v="1050"/>
        <n v="740"/>
        <n v="2700"/>
        <n v="1950"/>
        <n v="1080"/>
        <n v="2800"/>
        <n v="2900"/>
        <n v="2050"/>
        <n v="3000"/>
      </sharedItems>
    </cacheField>
  </cacheFields>
  <extLst>
    <ext xmlns:x14="http://schemas.microsoft.com/office/spreadsheetml/2009/9/main" uri="{725AE2AE-9491-48be-B2B4-4EB974FC3084}">
      <x14:pivotCacheDefinition pivotCacheId="208992163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alou" refreshedDate="46125.789660069444" createdVersion="8" refreshedVersion="8" minRefreshableVersion="3" recordCount="4" xr:uid="{ED861A80-B1C2-4FA3-8696-2B034626D093}">
  <cacheSource type="worksheet">
    <worksheetSource name="Table4"/>
  </cacheSource>
  <cacheFields count="2">
    <cacheField name="Month" numFmtId="0">
      <sharedItems count="4">
        <s v="January"/>
        <s v="February"/>
        <s v="March"/>
        <s v="April"/>
      </sharedItems>
    </cacheField>
    <cacheField name="Revenue Per Month" numFmtId="166">
      <sharedItems containsSemiMixedTypes="0" containsString="0" containsNumber="1" containsInteger="1" minValue="10680" maxValue="47190"/>
    </cacheField>
  </cacheFields>
  <extLst>
    <ext xmlns:x14="http://schemas.microsoft.com/office/spreadsheetml/2009/9/main" uri="{725AE2AE-9491-48be-B2B4-4EB974FC3084}">
      <x14:pivotCacheDefinition pivotCacheId="152832803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
  <r>
    <x v="0"/>
    <x v="0"/>
    <x v="0"/>
    <x v="0"/>
  </r>
  <r>
    <x v="1"/>
    <x v="1"/>
    <x v="1"/>
    <x v="1"/>
  </r>
  <r>
    <x v="2"/>
    <x v="2"/>
    <x v="2"/>
    <x v="2"/>
  </r>
  <r>
    <x v="3"/>
    <x v="3"/>
    <x v="3"/>
    <x v="3"/>
  </r>
  <r>
    <x v="4"/>
    <x v="0"/>
    <x v="4"/>
    <x v="4"/>
  </r>
  <r>
    <x v="5"/>
    <x v="1"/>
    <x v="5"/>
    <x v="5"/>
  </r>
  <r>
    <x v="6"/>
    <x v="2"/>
    <x v="6"/>
    <x v="6"/>
  </r>
  <r>
    <x v="7"/>
    <x v="3"/>
    <x v="7"/>
    <x v="7"/>
  </r>
  <r>
    <x v="8"/>
    <x v="0"/>
    <x v="0"/>
    <x v="8"/>
  </r>
  <r>
    <x v="9"/>
    <x v="1"/>
    <x v="8"/>
    <x v="9"/>
  </r>
  <r>
    <x v="10"/>
    <x v="2"/>
    <x v="9"/>
    <x v="10"/>
  </r>
  <r>
    <x v="11"/>
    <x v="3"/>
    <x v="3"/>
    <x v="11"/>
  </r>
  <r>
    <x v="12"/>
    <x v="0"/>
    <x v="10"/>
    <x v="12"/>
  </r>
  <r>
    <x v="13"/>
    <x v="1"/>
    <x v="5"/>
    <x v="13"/>
  </r>
  <r>
    <x v="14"/>
    <x v="2"/>
    <x v="11"/>
    <x v="14"/>
  </r>
  <r>
    <x v="15"/>
    <x v="3"/>
    <x v="7"/>
    <x v="15"/>
  </r>
  <r>
    <x v="16"/>
    <x v="0"/>
    <x v="0"/>
    <x v="16"/>
  </r>
  <r>
    <x v="17"/>
    <x v="1"/>
    <x v="1"/>
    <x v="17"/>
  </r>
  <r>
    <x v="18"/>
    <x v="2"/>
    <x v="12"/>
    <x v="18"/>
  </r>
  <r>
    <x v="19"/>
    <x v="3"/>
    <x v="3"/>
    <x v="19"/>
  </r>
  <r>
    <x v="20"/>
    <x v="0"/>
    <x v="4"/>
    <x v="20"/>
  </r>
  <r>
    <x v="21"/>
    <x v="1"/>
    <x v="5"/>
    <x v="21"/>
  </r>
  <r>
    <x v="22"/>
    <x v="2"/>
    <x v="13"/>
    <x v="22"/>
  </r>
  <r>
    <x v="23"/>
    <x v="3"/>
    <x v="3"/>
    <x v="23"/>
  </r>
  <r>
    <x v="24"/>
    <x v="0"/>
    <x v="10"/>
    <x v="24"/>
  </r>
  <r>
    <x v="25"/>
    <x v="1"/>
    <x v="14"/>
    <x v="25"/>
  </r>
  <r>
    <x v="26"/>
    <x v="2"/>
    <x v="9"/>
    <x v="26"/>
  </r>
  <r>
    <x v="27"/>
    <x v="3"/>
    <x v="7"/>
    <x v="27"/>
  </r>
  <r>
    <x v="28"/>
    <x v="0"/>
    <x v="8"/>
    <x v="19"/>
  </r>
  <r>
    <x v="29"/>
    <x v="1"/>
    <x v="1"/>
    <x v="28"/>
  </r>
  <r>
    <x v="30"/>
    <x v="2"/>
    <x v="6"/>
    <x v="29"/>
  </r>
  <r>
    <x v="31"/>
    <x v="3"/>
    <x v="7"/>
    <x v="30"/>
  </r>
  <r>
    <x v="32"/>
    <x v="0"/>
    <x v="0"/>
    <x v="31"/>
  </r>
  <r>
    <x v="33"/>
    <x v="1"/>
    <x v="5"/>
    <x v="32"/>
  </r>
  <r>
    <x v="34"/>
    <x v="2"/>
    <x v="2"/>
    <x v="33"/>
  </r>
  <r>
    <x v="35"/>
    <x v="3"/>
    <x v="3"/>
    <x v="3"/>
  </r>
  <r>
    <x v="36"/>
    <x v="0"/>
    <x v="10"/>
    <x v="16"/>
  </r>
  <r>
    <x v="37"/>
    <x v="1"/>
    <x v="8"/>
    <x v="13"/>
  </r>
  <r>
    <x v="38"/>
    <x v="2"/>
    <x v="11"/>
    <x v="6"/>
  </r>
  <r>
    <x v="39"/>
    <x v="3"/>
    <x v="7"/>
    <x v="15"/>
  </r>
  <r>
    <x v="40"/>
    <x v="0"/>
    <x v="8"/>
    <x v="24"/>
  </r>
  <r>
    <x v="41"/>
    <x v="1"/>
    <x v="1"/>
    <x v="1"/>
  </r>
  <r>
    <x v="42"/>
    <x v="2"/>
    <x v="12"/>
    <x v="34"/>
  </r>
  <r>
    <x v="43"/>
    <x v="3"/>
    <x v="7"/>
    <x v="11"/>
  </r>
  <r>
    <x v="44"/>
    <x v="0"/>
    <x v="5"/>
    <x v="35"/>
  </r>
  <r>
    <x v="45"/>
    <x v="1"/>
    <x v="14"/>
    <x v="36"/>
  </r>
  <r>
    <x v="46"/>
    <x v="2"/>
    <x v="15"/>
    <x v="37"/>
  </r>
  <r>
    <x v="47"/>
    <x v="3"/>
    <x v="4"/>
    <x v="7"/>
  </r>
  <r>
    <x v="48"/>
    <x v="0"/>
    <x v="5"/>
    <x v="3"/>
  </r>
  <r>
    <x v="49"/>
    <x v="1"/>
    <x v="16"/>
    <x v="38"/>
  </r>
  <r>
    <x v="50"/>
    <x v="2"/>
    <x v="17"/>
    <x v="39"/>
  </r>
  <r>
    <x v="51"/>
    <x v="3"/>
    <x v="4"/>
    <x v="40"/>
  </r>
  <r>
    <x v="52"/>
    <x v="0"/>
    <x v="1"/>
    <x v="23"/>
  </r>
  <r>
    <x v="53"/>
    <x v="1"/>
    <x v="16"/>
    <x v="41"/>
  </r>
  <r>
    <x v="54"/>
    <x v="2"/>
    <x v="18"/>
    <x v="42"/>
  </r>
  <r>
    <x v="55"/>
    <x v="3"/>
    <x v="4"/>
    <x v="43"/>
  </r>
  <r>
    <x v="56"/>
    <x v="0"/>
    <x v="1"/>
    <x v="15"/>
  </r>
  <r>
    <x v="57"/>
    <x v="1"/>
    <x v="19"/>
    <x v="4"/>
  </r>
  <r>
    <x v="58"/>
    <x v="2"/>
    <x v="20"/>
    <x v="44"/>
  </r>
  <r>
    <x v="59"/>
    <x v="3"/>
    <x v="0"/>
    <x v="45"/>
  </r>
  <r>
    <x v="60"/>
    <x v="0"/>
    <x v="14"/>
    <x v="27"/>
  </r>
  <r>
    <x v="61"/>
    <x v="1"/>
    <x v="19"/>
    <x v="46"/>
  </r>
  <r>
    <x v="62"/>
    <x v="2"/>
    <x v="21"/>
    <x v="47"/>
  </r>
  <r>
    <x v="63"/>
    <x v="3"/>
    <x v="0"/>
    <x v="48"/>
  </r>
  <r>
    <x v="64"/>
    <x v="0"/>
    <x v="14"/>
    <x v="11"/>
  </r>
  <r>
    <x v="65"/>
    <x v="1"/>
    <x v="13"/>
    <x v="49"/>
  </r>
  <r>
    <x v="66"/>
    <x v="2"/>
    <x v="22"/>
    <x v="50"/>
  </r>
  <r>
    <x v="67"/>
    <x v="3"/>
    <x v="0"/>
    <x v="51"/>
  </r>
  <r>
    <x v="68"/>
    <x v="0"/>
    <x v="16"/>
    <x v="30"/>
  </r>
  <r>
    <x v="69"/>
    <x v="1"/>
    <x v="13"/>
    <x v="52"/>
  </r>
  <r>
    <x v="70"/>
    <x v="2"/>
    <x v="23"/>
    <x v="53"/>
  </r>
  <r>
    <x v="71"/>
    <x v="3"/>
    <x v="10"/>
    <x v="54"/>
  </r>
  <r>
    <x v="72"/>
    <x v="0"/>
    <x v="16"/>
    <x v="7"/>
  </r>
  <r>
    <x v="73"/>
    <x v="1"/>
    <x v="2"/>
    <x v="20"/>
  </r>
  <r>
    <x v="74"/>
    <x v="2"/>
    <x v="24"/>
    <x v="5"/>
  </r>
  <r>
    <x v="75"/>
    <x v="3"/>
    <x v="10"/>
    <x v="55"/>
  </r>
  <r>
    <x v="76"/>
    <x v="0"/>
    <x v="19"/>
    <x v="56"/>
  </r>
  <r>
    <x v="77"/>
    <x v="1"/>
    <x v="2"/>
    <x v="57"/>
  </r>
  <r>
    <x v="78"/>
    <x v="2"/>
    <x v="25"/>
    <x v="13"/>
  </r>
  <r>
    <x v="79"/>
    <x v="3"/>
    <x v="10"/>
    <x v="58"/>
  </r>
  <r>
    <x v="80"/>
    <x v="0"/>
    <x v="19"/>
    <x v="40"/>
  </r>
  <r>
    <x v="81"/>
    <x v="1"/>
    <x v="9"/>
    <x v="59"/>
  </r>
  <r>
    <x v="82"/>
    <x v="2"/>
    <x v="26"/>
    <x v="60"/>
  </r>
  <r>
    <x v="83"/>
    <x v="3"/>
    <x v="8"/>
    <x v="61"/>
  </r>
  <r>
    <x v="84"/>
    <x v="0"/>
    <x v="13"/>
    <x v="62"/>
  </r>
  <r>
    <x v="85"/>
    <x v="1"/>
    <x v="9"/>
    <x v="63"/>
  </r>
  <r>
    <x v="86"/>
    <x v="2"/>
    <x v="27"/>
    <x v="32"/>
  </r>
  <r>
    <x v="87"/>
    <x v="3"/>
    <x v="8"/>
    <x v="64"/>
  </r>
  <r>
    <x v="88"/>
    <x v="0"/>
    <x v="13"/>
    <x v="43"/>
  </r>
  <r>
    <x v="89"/>
    <x v="1"/>
    <x v="11"/>
    <x v="8"/>
  </r>
  <r>
    <x v="90"/>
    <x v="2"/>
    <x v="28"/>
    <x v="17"/>
  </r>
  <r>
    <x v="91"/>
    <x v="3"/>
    <x v="8"/>
    <x v="65"/>
  </r>
  <r>
    <x v="92"/>
    <x v="0"/>
    <x v="2"/>
    <x v="66"/>
  </r>
  <r>
    <x v="93"/>
    <x v="1"/>
    <x v="6"/>
    <x v="31"/>
  </r>
  <r>
    <x v="94"/>
    <x v="2"/>
    <x v="29"/>
    <x v="1"/>
  </r>
  <r>
    <x v="95"/>
    <x v="3"/>
    <x v="5"/>
    <x v="67"/>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
  <r>
    <x v="0"/>
    <n v="30630"/>
  </r>
  <r>
    <x v="1"/>
    <n v="31680"/>
  </r>
  <r>
    <x v="2"/>
    <n v="47190"/>
  </r>
  <r>
    <x v="3"/>
    <n v="1068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BDD00AC-9993-47C1-9A36-7F75B1FE0F5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8" firstHeaderRow="1" firstDataRow="1" firstDataCol="1"/>
  <pivotFields count="4">
    <pivotField showAll="0">
      <items count="9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t="default"/>
      </items>
    </pivotField>
    <pivotField axis="axisRow" showAll="0">
      <items count="5">
        <item x="1"/>
        <item x="0"/>
        <item x="3"/>
        <item x="2"/>
        <item t="default"/>
      </items>
    </pivotField>
    <pivotField showAll="0">
      <items count="31">
        <item x="3"/>
        <item x="7"/>
        <item x="4"/>
        <item x="0"/>
        <item x="10"/>
        <item x="8"/>
        <item x="5"/>
        <item x="1"/>
        <item x="14"/>
        <item x="16"/>
        <item x="19"/>
        <item x="13"/>
        <item x="2"/>
        <item x="9"/>
        <item x="11"/>
        <item x="6"/>
        <item x="12"/>
        <item x="15"/>
        <item x="17"/>
        <item x="18"/>
        <item x="20"/>
        <item x="21"/>
        <item x="22"/>
        <item x="23"/>
        <item x="24"/>
        <item x="25"/>
        <item x="26"/>
        <item x="27"/>
        <item x="28"/>
        <item x="29"/>
        <item t="default"/>
      </items>
    </pivotField>
    <pivotField dataField="1" numFmtId="166" showAll="0">
      <items count="69">
        <item x="2"/>
        <item x="33"/>
        <item x="22"/>
        <item x="10"/>
        <item x="26"/>
        <item x="6"/>
        <item x="14"/>
        <item x="29"/>
        <item x="18"/>
        <item x="34"/>
        <item x="37"/>
        <item x="39"/>
        <item x="42"/>
        <item x="44"/>
        <item x="47"/>
        <item x="9"/>
        <item x="50"/>
        <item x="53"/>
        <item x="21"/>
        <item x="5"/>
        <item x="13"/>
        <item x="60"/>
        <item x="32"/>
        <item x="17"/>
        <item x="1"/>
        <item x="25"/>
        <item x="36"/>
        <item x="28"/>
        <item x="38"/>
        <item x="41"/>
        <item x="4"/>
        <item x="46"/>
        <item x="49"/>
        <item x="52"/>
        <item x="20"/>
        <item x="57"/>
        <item x="59"/>
        <item x="63"/>
        <item x="8"/>
        <item x="31"/>
        <item x="0"/>
        <item x="16"/>
        <item x="12"/>
        <item x="24"/>
        <item x="19"/>
        <item x="35"/>
        <item x="3"/>
        <item x="23"/>
        <item x="15"/>
        <item x="27"/>
        <item x="11"/>
        <item x="30"/>
        <item x="7"/>
        <item x="56"/>
        <item x="40"/>
        <item x="62"/>
        <item x="43"/>
        <item x="66"/>
        <item x="45"/>
        <item x="48"/>
        <item x="51"/>
        <item x="54"/>
        <item x="55"/>
        <item x="58"/>
        <item x="61"/>
        <item x="64"/>
        <item x="65"/>
        <item x="67"/>
        <item t="default"/>
      </items>
    </pivotField>
  </pivotFields>
  <rowFields count="1">
    <field x="1"/>
  </rowFields>
  <rowItems count="5">
    <i>
      <x/>
    </i>
    <i>
      <x v="1"/>
    </i>
    <i>
      <x v="2"/>
    </i>
    <i>
      <x v="3"/>
    </i>
    <i t="grand">
      <x/>
    </i>
  </rowItems>
  <colItems count="1">
    <i/>
  </colItems>
  <dataFields count="1">
    <dataField name="Sum of Revenue" fld="3" baseField="0" baseItem="0" numFmtId="166"/>
  </dataFields>
  <chartFormats count="3">
    <chartFormat chart="2"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27037B5-2FAF-494C-B718-49FDE1B56961}"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6" firstHeaderRow="1" firstDataRow="1" firstDataCol="1"/>
  <pivotFields count="2">
    <pivotField axis="axisRow" showAll="0">
      <items count="5">
        <item x="0"/>
        <item x="1"/>
        <item h="1" x="2"/>
        <item h="1" x="3"/>
        <item t="default"/>
      </items>
    </pivotField>
    <pivotField dataField="1" numFmtId="166" showAll="0"/>
  </pivotFields>
  <rowFields count="1">
    <field x="0"/>
  </rowFields>
  <rowItems count="3">
    <i>
      <x/>
    </i>
    <i>
      <x v="1"/>
    </i>
    <i t="grand">
      <x/>
    </i>
  </rowItems>
  <colItems count="1">
    <i/>
  </colItems>
  <dataFields count="1">
    <dataField name="Sum of Revenue Per Month" fld="1" baseField="0" baseItem="0" numFmtId="166"/>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02FF286-4597-4729-B96A-AEAAF381A89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B8" firstHeaderRow="1" firstDataRow="1" firstDataCol="1"/>
  <pivotFields count="4">
    <pivotField showAll="0"/>
    <pivotField axis="axisRow" showAll="0">
      <items count="5">
        <item x="1"/>
        <item x="0"/>
        <item x="3"/>
        <item x="2"/>
        <item t="default"/>
      </items>
    </pivotField>
    <pivotField dataField="1" showAll="0"/>
    <pivotField numFmtId="166" showAll="0"/>
  </pivotFields>
  <rowFields count="1">
    <field x="1"/>
  </rowFields>
  <rowItems count="5">
    <i>
      <x/>
    </i>
    <i>
      <x v="1"/>
    </i>
    <i>
      <x v="2"/>
    </i>
    <i>
      <x v="3"/>
    </i>
    <i t="grand">
      <x/>
    </i>
  </rowItems>
  <colItems count="1">
    <i/>
  </colItems>
  <dataFields count="1">
    <dataField name="Sum of Units Sold" fld="2" baseField="0" baseItem="0"/>
  </dataFields>
  <chartFormats count="16">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1" count="1" selected="0">
            <x v="0"/>
          </reference>
        </references>
      </pivotArea>
    </chartFormat>
    <chartFormat chart="2" format="2">
      <pivotArea type="data" outline="0" fieldPosition="0">
        <references count="2">
          <reference field="4294967294" count="1" selected="0">
            <x v="0"/>
          </reference>
          <reference field="1" count="1" selected="0">
            <x v="1"/>
          </reference>
        </references>
      </pivotArea>
    </chartFormat>
    <chartFormat chart="2" format="3">
      <pivotArea type="data" outline="0" fieldPosition="0">
        <references count="2">
          <reference field="4294967294" count="1" selected="0">
            <x v="0"/>
          </reference>
          <reference field="1" count="1" selected="0">
            <x v="2"/>
          </reference>
        </references>
      </pivotArea>
    </chartFormat>
    <chartFormat chart="2" format="4">
      <pivotArea type="data" outline="0" fieldPosition="0">
        <references count="2">
          <reference field="4294967294" count="1" selected="0">
            <x v="0"/>
          </reference>
          <reference field="1" count="1" selected="0">
            <x v="3"/>
          </reference>
        </references>
      </pivotArea>
    </chartFormat>
    <chartFormat chart="7" format="10" series="1">
      <pivotArea type="data" outline="0" fieldPosition="0">
        <references count="1">
          <reference field="4294967294" count="1" selected="0">
            <x v="0"/>
          </reference>
        </references>
      </pivotArea>
    </chartFormat>
    <chartFormat chart="7" format="11">
      <pivotArea type="data" outline="0" fieldPosition="0">
        <references count="2">
          <reference field="4294967294" count="1" selected="0">
            <x v="0"/>
          </reference>
          <reference field="1" count="1" selected="0">
            <x v="0"/>
          </reference>
        </references>
      </pivotArea>
    </chartFormat>
    <chartFormat chart="7" format="12">
      <pivotArea type="data" outline="0" fieldPosition="0">
        <references count="2">
          <reference field="4294967294" count="1" selected="0">
            <x v="0"/>
          </reference>
          <reference field="1" count="1" selected="0">
            <x v="1"/>
          </reference>
        </references>
      </pivotArea>
    </chartFormat>
    <chartFormat chart="7" format="13">
      <pivotArea type="data" outline="0" fieldPosition="0">
        <references count="2">
          <reference field="4294967294" count="1" selected="0">
            <x v="0"/>
          </reference>
          <reference field="1" count="1" selected="0">
            <x v="2"/>
          </reference>
        </references>
      </pivotArea>
    </chartFormat>
    <chartFormat chart="7" format="14">
      <pivotArea type="data" outline="0" fieldPosition="0">
        <references count="2">
          <reference field="4294967294" count="1" selected="0">
            <x v="0"/>
          </reference>
          <reference field="1" count="1" selected="0">
            <x v="3"/>
          </reference>
        </references>
      </pivotArea>
    </chartFormat>
    <chartFormat chart="12" format="2" series="1">
      <pivotArea type="data" outline="0" fieldPosition="0">
        <references count="1">
          <reference field="4294967294" count="1" selected="0">
            <x v="0"/>
          </reference>
        </references>
      </pivotArea>
    </chartFormat>
    <chartFormat chart="19" format="10" series="1">
      <pivotArea type="data" outline="0" fieldPosition="0">
        <references count="1">
          <reference field="4294967294" count="1" selected="0">
            <x v="0"/>
          </reference>
        </references>
      </pivotArea>
    </chartFormat>
    <chartFormat chart="19" format="11">
      <pivotArea type="data" outline="0" fieldPosition="0">
        <references count="2">
          <reference field="4294967294" count="1" selected="0">
            <x v="0"/>
          </reference>
          <reference field="1" count="1" selected="0">
            <x v="0"/>
          </reference>
        </references>
      </pivotArea>
    </chartFormat>
    <chartFormat chart="19" format="12">
      <pivotArea type="data" outline="0" fieldPosition="0">
        <references count="2">
          <reference field="4294967294" count="1" selected="0">
            <x v="0"/>
          </reference>
          <reference field="1" count="1" selected="0">
            <x v="1"/>
          </reference>
        </references>
      </pivotArea>
    </chartFormat>
    <chartFormat chart="19" format="13">
      <pivotArea type="data" outline="0" fieldPosition="0">
        <references count="2">
          <reference field="4294967294" count="1" selected="0">
            <x v="0"/>
          </reference>
          <reference field="1" count="1" selected="0">
            <x v="2"/>
          </reference>
        </references>
      </pivotArea>
    </chartFormat>
    <chartFormat chart="19" format="14">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0C52296B-2AAC-4193-B4CD-3E162E5F37C1}" sourceName="Product Category">
  <pivotTables>
    <pivotTable tabId="3" name="PivotTable1"/>
    <pivotTable tabId="6" name="PivotTable4"/>
  </pivotTables>
  <data>
    <tabular pivotCacheId="2089921637">
      <items count="4">
        <i x="1" s="1"/>
        <i x="0"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B7C1E04C-F30C-40EF-898C-68A304B13D9A}" sourceName="Month">
  <pivotTables>
    <pivotTable tabId="5" name="PivotTable3"/>
  </pivotTables>
  <data>
    <tabular pivotCacheId="1528328037">
      <items count="4">
        <i x="0" s="1"/>
        <i x="1" s="1"/>
        <i x="2"/>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E85B3E75-6219-4621-A06D-EFD1A7BE25DA}" cache="Slicer_Product_Category" caption="Product Category" rowHeight="247650"/>
  <slicer name="Month" xr10:uid="{5FE0A7A0-0C6B-4C04-9B8E-B3032D840690}" cache="Slicer_Month" caption="Month"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7BA51E9-1512-4651-9304-C4580974ECC9}" name="Table1" displayName="Table1" ref="A3:G17" totalsRowShown="0">
  <autoFilter ref="A3:G17" xr:uid="{C7BA51E9-1512-4651-9304-C4580974ECC9}"/>
  <tableColumns count="7">
    <tableColumn id="1" xr3:uid="{8E7B343A-7DD5-4DDA-896F-7649CD6793A0}" name="Column1"/>
    <tableColumn id="2" xr3:uid="{BF51F856-3A66-4663-B0D1-681928025688}" name="Column2"/>
    <tableColumn id="3" xr3:uid="{37FA10C7-7204-4985-89E2-937B69A52534}" name="Column3" dataDxfId="4"/>
    <tableColumn id="4" xr3:uid="{CCFC7DF3-C9F0-421A-BBAD-163BD8F34EB4}" name="Column4"/>
    <tableColumn id="5" xr3:uid="{9AC3981D-759F-49F4-AE7B-B82635959D11}" name="Column5"/>
    <tableColumn id="6" xr3:uid="{49E2C4B3-2331-49B9-B25A-A3A95E2DE822}" name="Column6"/>
    <tableColumn id="7" xr3:uid="{918A21E2-B3CD-42EB-804C-876B8E7CBB8F}" name="Column7" dataDxfId="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B79E098-B9CC-4BF2-AC58-96251702FF51}" name="Table24" displayName="Table24" ref="A30:C36" totalsRowShown="0">
  <autoFilter ref="A30:C36" xr:uid="{3B79E098-B9CC-4BF2-AC58-96251702FF51}"/>
  <tableColumns count="3">
    <tableColumn id="1" xr3:uid="{07337452-5317-4ABA-9EC4-569826273143}" name="Name of Employees"/>
    <tableColumn id="2" xr3:uid="{216D23C7-9CC2-4714-A5DE-3FD53620B02A}" name="Companies"/>
    <tableColumn id="3" xr3:uid="{000BD1DC-4440-4C11-8917-2551A461216F}" name="Year"/>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CCB6CB8-9BE4-4058-AFF8-5FCC1595B880}" name="Table5" displayName="Table5" ref="J9:J10" insertRow="1" totalsRowShown="0">
  <autoFilter ref="J9:J10" xr:uid="{CCCB6CB8-9BE4-4058-AFF8-5FCC1595B880}"/>
  <tableColumns count="1">
    <tableColumn id="1" xr3:uid="{6BAF8D3D-4BF9-4B06-B425-85A0D67E5310}" name="Column1"/>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36B299C-0933-42CE-8CFB-057E77FE574C}" name="Table2" displayName="Table2" ref="A1:D97" totalsRowShown="0" headerRowDxfId="2">
  <autoFilter ref="A1:D97" xr:uid="{636B299C-0933-42CE-8CFB-057E77FE574C}"/>
  <tableColumns count="4">
    <tableColumn id="1" xr3:uid="{6CF51F4C-D85B-4B5D-BB72-8FECCA319772}" name="Date"/>
    <tableColumn id="2" xr3:uid="{E64137CD-2565-4AD5-AEAC-439933690876}" name="Product Category"/>
    <tableColumn id="3" xr3:uid="{32D73A78-E704-412A-AFFF-DDA95983FC08}" name="Units Sold"/>
    <tableColumn id="4" xr3:uid="{8A506A6A-7895-4C2A-BC08-97F3D6F7DC1F}" name="Revenue" dataDxfId="1"/>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56F0831-2381-418C-B397-D7B568CF605B}" name="Table4" displayName="Table4" ref="F3:G7" totalsRowShown="0">
  <autoFilter ref="F3:G7" xr:uid="{256F0831-2381-418C-B397-D7B568CF605B}"/>
  <tableColumns count="2">
    <tableColumn id="1" xr3:uid="{1197118D-8320-463F-803A-BEAF4D648347}" name="Month"/>
    <tableColumn id="2" xr3:uid="{4554A161-89E0-48D5-9509-FEB2E826BA73}" name="Revenue Per Month"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 Id="rId4" Type="http://schemas.openxmlformats.org/officeDocument/2006/relationships/table" Target="../tables/table3.xml"/></Relationships>
</file>

<file path=xl/worksheets/_rels/sheet2.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table" Target="../tables/table4.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C05865-54A0-4CB6-8C14-6A71E859ADE9}">
  <dimension ref="A3:N91"/>
  <sheetViews>
    <sheetView tabSelected="1" topLeftCell="A20" zoomScaleNormal="100" workbookViewId="0">
      <selection activeCell="L36" sqref="L36"/>
    </sheetView>
  </sheetViews>
  <sheetFormatPr defaultRowHeight="14.4" x14ac:dyDescent="0.3"/>
  <cols>
    <col min="1" max="1" width="19.77734375" bestFit="1" customWidth="1"/>
    <col min="2" max="2" width="12.6640625" bestFit="1" customWidth="1"/>
    <col min="3" max="3" width="11.44140625" bestFit="1" customWidth="1"/>
    <col min="4" max="4" width="12.6640625" bestFit="1" customWidth="1"/>
    <col min="5" max="5" width="10.6640625" bestFit="1" customWidth="1"/>
    <col min="6" max="6" width="14.21875" bestFit="1" customWidth="1"/>
    <col min="7" max="7" width="10.6640625" bestFit="1" customWidth="1"/>
    <col min="8" max="8" width="14.88671875" bestFit="1" customWidth="1"/>
    <col min="10" max="10" width="19.21875" customWidth="1"/>
    <col min="11" max="11" width="15.6640625" customWidth="1"/>
    <col min="12" max="12" width="13.5546875" customWidth="1"/>
    <col min="13" max="13" width="13.44140625" customWidth="1"/>
    <col min="14" max="14" width="19.44140625" customWidth="1"/>
  </cols>
  <sheetData>
    <row r="3" spans="1:12" x14ac:dyDescent="0.3">
      <c r="A3" t="s">
        <v>21</v>
      </c>
      <c r="B3" t="s">
        <v>22</v>
      </c>
      <c r="C3" t="s">
        <v>23</v>
      </c>
      <c r="D3" t="s">
        <v>24</v>
      </c>
      <c r="E3" t="s">
        <v>25</v>
      </c>
      <c r="F3" t="s">
        <v>26</v>
      </c>
      <c r="G3" t="s">
        <v>27</v>
      </c>
    </row>
    <row r="4" spans="1:12" x14ac:dyDescent="0.3">
      <c r="D4" t="s">
        <v>29</v>
      </c>
      <c r="E4" t="s">
        <v>19</v>
      </c>
      <c r="F4" t="s">
        <v>20</v>
      </c>
      <c r="G4" t="s">
        <v>18</v>
      </c>
    </row>
    <row r="5" spans="1:12" x14ac:dyDescent="0.3">
      <c r="A5" s="1" t="s">
        <v>0</v>
      </c>
      <c r="B5" s="1" t="s">
        <v>1</v>
      </c>
      <c r="C5" s="1" t="s">
        <v>2</v>
      </c>
      <c r="D5" s="4">
        <v>45658</v>
      </c>
      <c r="E5" s="4"/>
      <c r="F5" s="4"/>
    </row>
    <row r="6" spans="1:12" x14ac:dyDescent="0.3">
      <c r="A6" t="s">
        <v>3</v>
      </c>
      <c r="B6" t="s">
        <v>4</v>
      </c>
      <c r="C6" s="3">
        <v>15.9</v>
      </c>
      <c r="D6">
        <v>43</v>
      </c>
      <c r="E6">
        <f>IF(D6&gt;40, D6-40,0)</f>
        <v>3</v>
      </c>
      <c r="F6" s="7">
        <f>C6*0.5*E6</f>
        <v>23.85</v>
      </c>
      <c r="G6" s="6">
        <f>C6*D6+F6</f>
        <v>707.55000000000007</v>
      </c>
    </row>
    <row r="7" spans="1:12" x14ac:dyDescent="0.3">
      <c r="A7" t="s">
        <v>5</v>
      </c>
      <c r="B7" t="s">
        <v>6</v>
      </c>
      <c r="C7" s="3">
        <v>10</v>
      </c>
      <c r="D7">
        <v>42</v>
      </c>
      <c r="E7">
        <f t="shared" ref="E7:E11" si="0">IF(D7&gt;40, D7-40,0)</f>
        <v>2</v>
      </c>
      <c r="F7" s="7">
        <f t="shared" ref="F7:F11" si="1">C7*0.5*E7</f>
        <v>10</v>
      </c>
      <c r="G7" s="6">
        <f t="shared" ref="G7:G11" si="2">C7*D7+F7</f>
        <v>430</v>
      </c>
    </row>
    <row r="8" spans="1:12" x14ac:dyDescent="0.3">
      <c r="A8" t="s">
        <v>7</v>
      </c>
      <c r="B8" t="s">
        <v>8</v>
      </c>
      <c r="C8" s="3">
        <v>22.1</v>
      </c>
      <c r="D8">
        <v>49</v>
      </c>
      <c r="E8">
        <f t="shared" si="0"/>
        <v>9</v>
      </c>
      <c r="F8" s="7">
        <f t="shared" si="1"/>
        <v>99.45</v>
      </c>
      <c r="G8" s="6">
        <f t="shared" si="2"/>
        <v>1182.3500000000001</v>
      </c>
    </row>
    <row r="9" spans="1:12" x14ac:dyDescent="0.3">
      <c r="A9" t="s">
        <v>9</v>
      </c>
      <c r="B9" t="s">
        <v>10</v>
      </c>
      <c r="C9" s="3">
        <v>19.100000000000001</v>
      </c>
      <c r="D9">
        <v>41</v>
      </c>
      <c r="E9">
        <f t="shared" si="0"/>
        <v>1</v>
      </c>
      <c r="F9" s="7">
        <f t="shared" si="1"/>
        <v>9.5500000000000007</v>
      </c>
      <c r="G9" s="6">
        <f t="shared" si="2"/>
        <v>792.65</v>
      </c>
      <c r="J9" t="s">
        <v>21</v>
      </c>
    </row>
    <row r="10" spans="1:12" x14ac:dyDescent="0.3">
      <c r="A10" t="s">
        <v>11</v>
      </c>
      <c r="B10" t="s">
        <v>12</v>
      </c>
      <c r="C10" s="3">
        <v>6.9</v>
      </c>
      <c r="D10">
        <v>39</v>
      </c>
      <c r="E10">
        <f t="shared" si="0"/>
        <v>0</v>
      </c>
      <c r="F10" s="7">
        <f t="shared" si="1"/>
        <v>0</v>
      </c>
      <c r="G10" s="6">
        <f t="shared" si="2"/>
        <v>269.10000000000002</v>
      </c>
      <c r="L10" s="2"/>
    </row>
    <row r="11" spans="1:12" x14ac:dyDescent="0.3">
      <c r="A11" t="s">
        <v>13</v>
      </c>
      <c r="B11" t="s">
        <v>14</v>
      </c>
      <c r="C11" s="3">
        <v>14.2</v>
      </c>
      <c r="D11">
        <v>44</v>
      </c>
      <c r="E11">
        <f t="shared" si="0"/>
        <v>4</v>
      </c>
      <c r="F11" s="7">
        <f t="shared" si="1"/>
        <v>28.4</v>
      </c>
      <c r="G11" s="6">
        <f t="shared" si="2"/>
        <v>653.19999999999993</v>
      </c>
    </row>
    <row r="13" spans="1:12" x14ac:dyDescent="0.3">
      <c r="A13" t="s">
        <v>15</v>
      </c>
      <c r="C13" s="3">
        <f t="shared" ref="C13" si="3">MAX(C6:C11)</f>
        <v>22.1</v>
      </c>
      <c r="G13" s="3">
        <f>MAX(G6:G11)</f>
        <v>1182.3500000000001</v>
      </c>
    </row>
    <row r="14" spans="1:12" x14ac:dyDescent="0.3">
      <c r="A14" t="s">
        <v>16</v>
      </c>
      <c r="C14" s="3">
        <f t="shared" ref="C14" si="4">MIN(C6:C11)</f>
        <v>6.9</v>
      </c>
      <c r="D14" s="5"/>
      <c r="E14" s="5"/>
      <c r="F14" s="5"/>
      <c r="G14" s="3">
        <f>MIN(G6:G11)</f>
        <v>269.10000000000002</v>
      </c>
    </row>
    <row r="15" spans="1:12" x14ac:dyDescent="0.3">
      <c r="A15" t="s">
        <v>17</v>
      </c>
      <c r="C15" s="3">
        <f t="shared" ref="C15" si="5">AVERAGE(C6:C11)</f>
        <v>14.700000000000001</v>
      </c>
      <c r="G15" s="3">
        <f>AVERAGE(G6:G11)</f>
        <v>672.47500000000002</v>
      </c>
    </row>
    <row r="16" spans="1:12" x14ac:dyDescent="0.3">
      <c r="A16" t="s">
        <v>173</v>
      </c>
      <c r="C16" s="3">
        <f>SUM(C6:C11)</f>
        <v>88.2</v>
      </c>
      <c r="D16" s="3"/>
      <c r="E16" s="3"/>
      <c r="F16" s="3"/>
      <c r="G16" s="3">
        <f>SUM(G6:G11)</f>
        <v>4034.8500000000004</v>
      </c>
    </row>
    <row r="17" spans="1:9" x14ac:dyDescent="0.3">
      <c r="A17" t="s">
        <v>174</v>
      </c>
      <c r="B17">
        <f>COUNTA(B6:B11)</f>
        <v>6</v>
      </c>
      <c r="C17" s="3"/>
      <c r="G17" s="3"/>
    </row>
    <row r="21" spans="1:9" x14ac:dyDescent="0.3">
      <c r="A21" s="8" t="s">
        <v>1</v>
      </c>
      <c r="B21" s="8" t="s">
        <v>0</v>
      </c>
      <c r="C21" s="8" t="s">
        <v>28</v>
      </c>
      <c r="D21" s="8" t="s">
        <v>29</v>
      </c>
      <c r="E21" s="8" t="s">
        <v>19</v>
      </c>
      <c r="F21" s="8" t="s">
        <v>20</v>
      </c>
      <c r="G21" s="8" t="s">
        <v>18</v>
      </c>
    </row>
    <row r="22" spans="1:9" x14ac:dyDescent="0.3">
      <c r="A22" s="9" t="s">
        <v>4</v>
      </c>
      <c r="B22" s="9" t="str">
        <f>_xlfn.XLOOKUP(A22,B6:B11,A6:A11)</f>
        <v>Kern</v>
      </c>
      <c r="C22" s="10">
        <f>_xlfn.XLOOKUP(A22,B6:B11,C6:C11)</f>
        <v>15.9</v>
      </c>
      <c r="D22" s="9">
        <f>_xlfn.XLOOKUP(A22,B6:B11,D6:D11)</f>
        <v>43</v>
      </c>
      <c r="E22" s="9">
        <f>_xlfn.XLOOKUP(A22,B6:B11,E6:E11)</f>
        <v>3</v>
      </c>
      <c r="F22" s="10">
        <f>_xlfn.XLOOKUP(A22,B6:B11,F6:F11)</f>
        <v>23.85</v>
      </c>
      <c r="G22" s="10">
        <f>_xlfn.XLOOKUP(A22,B6:B11,G6:G11)</f>
        <v>707.55000000000007</v>
      </c>
      <c r="H22" s="12" t="s">
        <v>30</v>
      </c>
    </row>
    <row r="23" spans="1:9" x14ac:dyDescent="0.3">
      <c r="A23" s="9" t="s">
        <v>4</v>
      </c>
      <c r="B23" s="9" t="str">
        <f>INDEX(A6:A11,MATCH(A23,B6:B11,0))</f>
        <v>Kern</v>
      </c>
      <c r="C23" s="10">
        <f>INDEX(C6:C11,MATCH(A23,B6:B11,0))</f>
        <v>15.9</v>
      </c>
      <c r="D23" s="9">
        <f>INDEX(D6:D11,MATCH(A23,B6:B11,0))</f>
        <v>43</v>
      </c>
      <c r="E23" s="9">
        <f>INDEX(E6:E11,MATCH(A23,B6:B11,0))</f>
        <v>3</v>
      </c>
      <c r="F23" s="10">
        <f>INDEX(F6:F11,MATCH(A23,B6:B11,0))</f>
        <v>23.85</v>
      </c>
      <c r="G23" s="10">
        <f>INDEX(G6:G11,MATCH(A23,B6:B11,0))</f>
        <v>707.55000000000007</v>
      </c>
      <c r="H23" s="12" t="s">
        <v>31</v>
      </c>
    </row>
    <row r="24" spans="1:9" x14ac:dyDescent="0.3">
      <c r="A24" s="9" t="s">
        <v>4</v>
      </c>
      <c r="B24" s="9" t="str">
        <f>_xlfn.XLOOKUP(A24,B6:B11,A6:A11)</f>
        <v>Kern</v>
      </c>
      <c r="C24" s="10">
        <f>VLOOKUP(A24,B6:G11,2,0)</f>
        <v>15.9</v>
      </c>
      <c r="D24" s="9">
        <f>VLOOKUP(A24,B6:G11,3,"False")</f>
        <v>43</v>
      </c>
      <c r="E24" s="9">
        <f>VLOOKUP(A24,B6:E11,4,0)</f>
        <v>3</v>
      </c>
      <c r="F24" s="10">
        <f>VLOOKUP(A24,B6:F11,5,0)</f>
        <v>23.85</v>
      </c>
      <c r="G24" s="10">
        <f>VLOOKUP(A24,B6:G11,6,0)</f>
        <v>707.55000000000007</v>
      </c>
      <c r="H24" s="12" t="s">
        <v>32</v>
      </c>
    </row>
    <row r="25" spans="1:9" x14ac:dyDescent="0.3">
      <c r="C25" s="3"/>
      <c r="F25" s="3"/>
      <c r="G25" s="3"/>
    </row>
    <row r="26" spans="1:9" x14ac:dyDescent="0.3">
      <c r="C26" s="3"/>
      <c r="F26" s="3"/>
      <c r="G26" s="3"/>
    </row>
    <row r="27" spans="1:9" x14ac:dyDescent="0.3">
      <c r="C27" s="3"/>
      <c r="F27" s="3"/>
      <c r="G27" s="3"/>
    </row>
    <row r="28" spans="1:9" x14ac:dyDescent="0.3">
      <c r="A28" s="11" t="s">
        <v>46</v>
      </c>
      <c r="C28" s="3"/>
      <c r="F28" s="3"/>
      <c r="G28" s="3"/>
    </row>
    <row r="29" spans="1:9" x14ac:dyDescent="0.3">
      <c r="F29" s="3"/>
      <c r="G29" s="3"/>
    </row>
    <row r="30" spans="1:9" x14ac:dyDescent="0.3">
      <c r="A30" t="s">
        <v>33</v>
      </c>
      <c r="B30" t="s">
        <v>38</v>
      </c>
      <c r="C30" t="s">
        <v>34</v>
      </c>
      <c r="F30" s="3"/>
      <c r="G30" s="3"/>
    </row>
    <row r="31" spans="1:9" x14ac:dyDescent="0.3">
      <c r="A31" t="s">
        <v>39</v>
      </c>
      <c r="B31" t="s">
        <v>35</v>
      </c>
      <c r="C31">
        <v>2021</v>
      </c>
      <c r="F31" s="3"/>
      <c r="G31" s="3"/>
      <c r="H31" s="24">
        <v>46023</v>
      </c>
      <c r="I31" t="str">
        <f>TEXT(H31," dddd, mmmm dd, yyyy")</f>
        <v xml:space="preserve"> Thursday, January 01, 2026</v>
      </c>
    </row>
    <row r="32" spans="1:9" x14ac:dyDescent="0.3">
      <c r="A32" t="s">
        <v>40</v>
      </c>
      <c r="B32" t="s">
        <v>36</v>
      </c>
      <c r="C32">
        <v>2022</v>
      </c>
      <c r="E32" s="3"/>
      <c r="F32" s="3"/>
      <c r="G32" s="3"/>
      <c r="I32" t="str">
        <f>TEXT(H31, "yyyy-mm-dd")</f>
        <v>2026-01-01</v>
      </c>
    </row>
    <row r="33" spans="1:14" x14ac:dyDescent="0.3">
      <c r="A33" t="s">
        <v>41</v>
      </c>
      <c r="B33" t="s">
        <v>37</v>
      </c>
      <c r="C33">
        <v>2024</v>
      </c>
      <c r="E33" s="3"/>
      <c r="F33" s="3"/>
      <c r="G33" s="3"/>
      <c r="I33" t="str">
        <f>TEXT(H31, "mm/dd/yyyy")</f>
        <v>01/01/2026</v>
      </c>
    </row>
    <row r="34" spans="1:14" x14ac:dyDescent="0.3">
      <c r="A34" t="s">
        <v>42</v>
      </c>
      <c r="B34" t="s">
        <v>35</v>
      </c>
      <c r="C34">
        <v>2021</v>
      </c>
      <c r="F34" s="3"/>
      <c r="I34" t="str">
        <f>TEXT(H31, "mm-dd-yyyy")</f>
        <v>01-01-2026</v>
      </c>
    </row>
    <row r="35" spans="1:14" x14ac:dyDescent="0.3">
      <c r="A35" t="s">
        <v>43</v>
      </c>
      <c r="B35" t="s">
        <v>37</v>
      </c>
      <c r="C35">
        <v>2024</v>
      </c>
      <c r="F35" s="3"/>
    </row>
    <row r="36" spans="1:14" x14ac:dyDescent="0.3">
      <c r="A36" t="s">
        <v>44</v>
      </c>
      <c r="B36" t="s">
        <v>35</v>
      </c>
      <c r="C36">
        <v>2021</v>
      </c>
      <c r="F36" s="3"/>
    </row>
    <row r="37" spans="1:14" x14ac:dyDescent="0.3">
      <c r="C37" s="2"/>
    </row>
    <row r="39" spans="1:14" x14ac:dyDescent="0.3">
      <c r="J39" s="25" t="s">
        <v>193</v>
      </c>
      <c r="K39" s="25" t="s">
        <v>1</v>
      </c>
      <c r="L39" s="25" t="s">
        <v>0</v>
      </c>
      <c r="M39" s="25" t="s">
        <v>45</v>
      </c>
    </row>
    <row r="40" spans="1:14" x14ac:dyDescent="0.3">
      <c r="A40" s="11" t="s">
        <v>47</v>
      </c>
      <c r="J40" t="s">
        <v>192</v>
      </c>
      <c r="K40" t="str">
        <f>_xlfn.TEXTBEFORE(J40, ",")</f>
        <v>John</v>
      </c>
      <c r="L40" t="str">
        <f>_xlfn.TEXTAFTER(_xlfn.TEXTBEFORE(J40, " -"), ", ")</f>
        <v>Magno</v>
      </c>
      <c r="M40" t="str">
        <f>_xlfn.TEXTAFTER(J40, "- ")</f>
        <v>24</v>
      </c>
      <c r="N40" t="s">
        <v>197</v>
      </c>
    </row>
    <row r="41" spans="1:14" x14ac:dyDescent="0.3">
      <c r="J41" t="s">
        <v>194</v>
      </c>
      <c r="K41" t="str">
        <f t="shared" ref="K41:K43" si="6">_xlfn.TEXTBEFORE(J41, ",")</f>
        <v>Ed</v>
      </c>
      <c r="L41" t="str">
        <f t="shared" ref="L41:L43" si="7">_xlfn.TEXTAFTER(_xlfn.TEXTBEFORE(J41, " -"), ", ")</f>
        <v>Gubi</v>
      </c>
      <c r="M41" t="str">
        <f t="shared" ref="M41:M43" si="8">_xlfn.TEXTAFTER(J41, "- ")</f>
        <v>28</v>
      </c>
    </row>
    <row r="42" spans="1:14" x14ac:dyDescent="0.3">
      <c r="J42" t="s">
        <v>195</v>
      </c>
      <c r="K42" t="str">
        <f t="shared" si="6"/>
        <v>Jade</v>
      </c>
      <c r="L42" t="str">
        <f t="shared" si="7"/>
        <v>Kubi</v>
      </c>
      <c r="M42" t="str">
        <f t="shared" si="8"/>
        <v>25</v>
      </c>
    </row>
    <row r="43" spans="1:14" x14ac:dyDescent="0.3">
      <c r="A43" s="8" t="s">
        <v>33</v>
      </c>
      <c r="B43" s="8" t="s">
        <v>45</v>
      </c>
      <c r="C43" s="8" t="s">
        <v>34</v>
      </c>
      <c r="J43" t="s">
        <v>196</v>
      </c>
      <c r="K43" t="str">
        <f t="shared" si="6"/>
        <v>Alroy</v>
      </c>
      <c r="L43" t="str">
        <f t="shared" si="7"/>
        <v>Kalungko</v>
      </c>
      <c r="M43" t="str">
        <f t="shared" si="8"/>
        <v>21</v>
      </c>
    </row>
    <row r="44" spans="1:14" x14ac:dyDescent="0.3">
      <c r="A44" s="9" t="s">
        <v>39</v>
      </c>
      <c r="B44" s="9">
        <v>22</v>
      </c>
      <c r="C44" s="9">
        <v>2021</v>
      </c>
    </row>
    <row r="45" spans="1:14" x14ac:dyDescent="0.3">
      <c r="A45" s="9" t="s">
        <v>40</v>
      </c>
      <c r="B45" s="9">
        <v>26</v>
      </c>
      <c r="C45" s="9">
        <v>2022</v>
      </c>
    </row>
    <row r="46" spans="1:14" x14ac:dyDescent="0.3">
      <c r="A46" s="9" t="s">
        <v>41</v>
      </c>
      <c r="B46" s="9">
        <v>39</v>
      </c>
      <c r="C46" s="9">
        <v>2024</v>
      </c>
    </row>
    <row r="47" spans="1:14" x14ac:dyDescent="0.3">
      <c r="A47" s="9" t="s">
        <v>42</v>
      </c>
      <c r="B47" s="9">
        <v>22</v>
      </c>
      <c r="C47" s="9">
        <v>2021</v>
      </c>
    </row>
    <row r="48" spans="1:14" x14ac:dyDescent="0.3">
      <c r="A48" s="9" t="s">
        <v>43</v>
      </c>
      <c r="B48" s="9">
        <v>39</v>
      </c>
      <c r="C48" s="9">
        <v>2024</v>
      </c>
    </row>
    <row r="49" spans="1:3" x14ac:dyDescent="0.3">
      <c r="A49" s="9" t="s">
        <v>44</v>
      </c>
      <c r="B49" s="9">
        <v>22</v>
      </c>
      <c r="C49" s="9">
        <v>2021</v>
      </c>
    </row>
    <row r="52" spans="1:3" x14ac:dyDescent="0.3">
      <c r="A52" t="str" cm="1">
        <f t="array" ref="A52:A54">_xlfn._xlws.FILTER(A31:A36,B31:B36="Concentrix")</f>
        <v>Jon Kern</v>
      </c>
    </row>
    <row r="53" spans="1:3" x14ac:dyDescent="0.3">
      <c r="A53" t="str">
        <v>Wendy Hernandez</v>
      </c>
    </row>
    <row r="54" spans="1:3" x14ac:dyDescent="0.3">
      <c r="A54" t="str">
        <v>Tom Baker</v>
      </c>
    </row>
    <row r="57" spans="1:3" x14ac:dyDescent="0.3">
      <c r="A57" s="11" t="s">
        <v>48</v>
      </c>
    </row>
    <row r="59" spans="1:3" x14ac:dyDescent="0.3">
      <c r="A59" s="8" t="s">
        <v>33</v>
      </c>
      <c r="B59" s="8" t="s">
        <v>45</v>
      </c>
      <c r="C59" s="8" t="s">
        <v>34</v>
      </c>
    </row>
    <row r="60" spans="1:3" x14ac:dyDescent="0.3">
      <c r="A60" s="9" t="s">
        <v>39</v>
      </c>
      <c r="B60" s="9">
        <v>22</v>
      </c>
      <c r="C60" s="9">
        <v>2021</v>
      </c>
    </row>
    <row r="61" spans="1:3" x14ac:dyDescent="0.3">
      <c r="A61" s="9" t="s">
        <v>40</v>
      </c>
      <c r="B61" s="9">
        <v>26</v>
      </c>
      <c r="C61" s="9">
        <v>2022</v>
      </c>
    </row>
    <row r="62" spans="1:3" x14ac:dyDescent="0.3">
      <c r="A62" s="9" t="s">
        <v>41</v>
      </c>
      <c r="B62" s="9">
        <v>39</v>
      </c>
      <c r="C62" s="9">
        <v>2024</v>
      </c>
    </row>
    <row r="63" spans="1:3" x14ac:dyDescent="0.3">
      <c r="A63" s="9" t="s">
        <v>42</v>
      </c>
      <c r="B63" s="9">
        <v>22</v>
      </c>
      <c r="C63" s="9">
        <v>2021</v>
      </c>
    </row>
    <row r="64" spans="1:3" x14ac:dyDescent="0.3">
      <c r="A64" s="9" t="s">
        <v>43</v>
      </c>
      <c r="B64" s="9">
        <v>39</v>
      </c>
      <c r="C64" s="9">
        <v>2024</v>
      </c>
    </row>
    <row r="65" spans="1:4" x14ac:dyDescent="0.3">
      <c r="A65" s="9" t="s">
        <v>44</v>
      </c>
      <c r="B65" s="9">
        <v>22</v>
      </c>
      <c r="C65" s="9">
        <v>2021</v>
      </c>
    </row>
    <row r="68" spans="1:4" x14ac:dyDescent="0.3">
      <c r="A68" t="str">
        <f>IF(B60=22,"Young", "Meh")</f>
        <v>Young</v>
      </c>
    </row>
    <row r="69" spans="1:4" x14ac:dyDescent="0.3">
      <c r="A69" t="str">
        <f t="shared" ref="A69:A73" si="9">IF(B61=22,"Young", "Meh")</f>
        <v>Meh</v>
      </c>
    </row>
    <row r="70" spans="1:4" x14ac:dyDescent="0.3">
      <c r="A70" t="str">
        <f t="shared" si="9"/>
        <v>Meh</v>
      </c>
    </row>
    <row r="71" spans="1:4" x14ac:dyDescent="0.3">
      <c r="A71" t="str">
        <f t="shared" si="9"/>
        <v>Young</v>
      </c>
    </row>
    <row r="72" spans="1:4" x14ac:dyDescent="0.3">
      <c r="A72" t="str">
        <f t="shared" si="9"/>
        <v>Meh</v>
      </c>
    </row>
    <row r="73" spans="1:4" x14ac:dyDescent="0.3">
      <c r="A73" t="str">
        <f t="shared" si="9"/>
        <v>Young</v>
      </c>
    </row>
    <row r="76" spans="1:4" x14ac:dyDescent="0.3">
      <c r="A76" s="8" t="s">
        <v>175</v>
      </c>
      <c r="B76" s="8" t="s">
        <v>176</v>
      </c>
      <c r="C76" s="8" t="s">
        <v>177</v>
      </c>
      <c r="D76" s="8" t="s">
        <v>178</v>
      </c>
    </row>
    <row r="77" spans="1:4" x14ac:dyDescent="0.3">
      <c r="A77" t="s">
        <v>179</v>
      </c>
      <c r="B77" t="s">
        <v>186</v>
      </c>
      <c r="C77">
        <v>5</v>
      </c>
      <c r="D77">
        <v>500</v>
      </c>
    </row>
    <row r="78" spans="1:4" x14ac:dyDescent="0.3">
      <c r="A78" t="s">
        <v>180</v>
      </c>
      <c r="B78" t="s">
        <v>187</v>
      </c>
      <c r="C78">
        <v>21</v>
      </c>
      <c r="D78">
        <v>301</v>
      </c>
    </row>
    <row r="79" spans="1:4" x14ac:dyDescent="0.3">
      <c r="A79" t="s">
        <v>181</v>
      </c>
      <c r="B79" t="s">
        <v>186</v>
      </c>
      <c r="C79">
        <v>61</v>
      </c>
      <c r="D79">
        <v>395</v>
      </c>
    </row>
    <row r="80" spans="1:4" x14ac:dyDescent="0.3">
      <c r="A80" t="s">
        <v>182</v>
      </c>
      <c r="B80" t="s">
        <v>187</v>
      </c>
      <c r="C80">
        <v>64</v>
      </c>
      <c r="D80">
        <v>591</v>
      </c>
    </row>
    <row r="81" spans="1:4" x14ac:dyDescent="0.3">
      <c r="A81" t="s">
        <v>183</v>
      </c>
      <c r="B81" t="s">
        <v>189</v>
      </c>
      <c r="C81">
        <v>19</v>
      </c>
      <c r="D81">
        <v>201</v>
      </c>
    </row>
    <row r="82" spans="1:4" x14ac:dyDescent="0.3">
      <c r="A82" t="s">
        <v>179</v>
      </c>
      <c r="B82" t="s">
        <v>187</v>
      </c>
      <c r="C82">
        <v>15</v>
      </c>
      <c r="D82" s="21">
        <v>195</v>
      </c>
    </row>
    <row r="83" spans="1:4" x14ac:dyDescent="0.3">
      <c r="A83" t="s">
        <v>184</v>
      </c>
      <c r="B83" t="s">
        <v>188</v>
      </c>
      <c r="C83">
        <v>6</v>
      </c>
      <c r="D83">
        <v>581</v>
      </c>
    </row>
    <row r="84" spans="1:4" x14ac:dyDescent="0.3">
      <c r="A84" t="s">
        <v>185</v>
      </c>
      <c r="B84" t="s">
        <v>188</v>
      </c>
      <c r="C84">
        <v>5</v>
      </c>
      <c r="D84">
        <v>195</v>
      </c>
    </row>
    <row r="85" spans="1:4" x14ac:dyDescent="0.3">
      <c r="A85" t="s">
        <v>183</v>
      </c>
      <c r="B85" t="s">
        <v>189</v>
      </c>
      <c r="C85">
        <v>318</v>
      </c>
      <c r="D85">
        <v>835</v>
      </c>
    </row>
    <row r="86" spans="1:4" x14ac:dyDescent="0.3">
      <c r="A86" t="s">
        <v>179</v>
      </c>
      <c r="B86" t="s">
        <v>186</v>
      </c>
      <c r="C86">
        <v>3</v>
      </c>
      <c r="D86">
        <v>194</v>
      </c>
    </row>
    <row r="89" spans="1:4" x14ac:dyDescent="0.3">
      <c r="A89" s="20" t="s">
        <v>190</v>
      </c>
      <c r="B89">
        <f>SUMIFS(D77:D86,A77:A86,"*Pen*", B77:B86,A91)</f>
        <v>1089</v>
      </c>
    </row>
    <row r="90" spans="1:4" x14ac:dyDescent="0.3">
      <c r="A90" s="20" t="s">
        <v>191</v>
      </c>
    </row>
    <row r="91" spans="1:4" x14ac:dyDescent="0.3">
      <c r="A91" s="20" t="s">
        <v>186</v>
      </c>
    </row>
  </sheetData>
  <pageMargins left="0.7" right="0.7" top="0.75" bottom="0.75" header="0.3" footer="0.3"/>
  <pageSetup paperSize="9" orientation="portrait" horizontalDpi="4294967293" r:id="rId1"/>
  <tableParts count="3">
    <tablePart r:id="rId2"/>
    <tablePart r:id="rId3"/>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A1D1C-762C-46F2-BBE9-AE4BF6A6DF87}">
  <dimension ref="A1:G108"/>
  <sheetViews>
    <sheetView workbookViewId="0">
      <selection activeCell="D104" sqref="D104"/>
    </sheetView>
  </sheetViews>
  <sheetFormatPr defaultRowHeight="14.4" x14ac:dyDescent="0.3"/>
  <cols>
    <col min="1" max="1" width="21.44140625" bestFit="1" customWidth="1"/>
    <col min="2" max="2" width="17.109375" customWidth="1"/>
    <col min="3" max="3" width="11.33203125" customWidth="1"/>
    <col min="4" max="4" width="9.88671875" customWidth="1"/>
    <col min="6" max="6" width="10.33203125" customWidth="1"/>
    <col min="7" max="7" width="19.5546875" customWidth="1"/>
  </cols>
  <sheetData>
    <row r="1" spans="1:7" x14ac:dyDescent="0.3">
      <c r="A1" s="11" t="s">
        <v>149</v>
      </c>
      <c r="B1" s="11" t="s">
        <v>150</v>
      </c>
      <c r="C1" s="11" t="s">
        <v>152</v>
      </c>
      <c r="D1" s="11" t="s">
        <v>151</v>
      </c>
    </row>
    <row r="2" spans="1:7" x14ac:dyDescent="0.3">
      <c r="A2" t="s">
        <v>49</v>
      </c>
      <c r="B2" t="s">
        <v>50</v>
      </c>
      <c r="C2">
        <v>6</v>
      </c>
      <c r="D2" s="14">
        <v>1200</v>
      </c>
    </row>
    <row r="3" spans="1:7" x14ac:dyDescent="0.3">
      <c r="A3" t="s">
        <v>51</v>
      </c>
      <c r="B3" t="s">
        <v>52</v>
      </c>
      <c r="C3">
        <v>10</v>
      </c>
      <c r="D3" s="14">
        <v>800</v>
      </c>
      <c r="F3" t="s">
        <v>167</v>
      </c>
      <c r="G3" s="14" t="s">
        <v>168</v>
      </c>
    </row>
    <row r="4" spans="1:7" x14ac:dyDescent="0.3">
      <c r="A4" t="s">
        <v>53</v>
      </c>
      <c r="B4" t="s">
        <v>54</v>
      </c>
      <c r="C4">
        <v>15</v>
      </c>
      <c r="D4" s="14">
        <v>450</v>
      </c>
      <c r="F4" t="s">
        <v>163</v>
      </c>
      <c r="G4" s="14">
        <v>30630</v>
      </c>
    </row>
    <row r="5" spans="1:7" x14ac:dyDescent="0.3">
      <c r="A5" t="s">
        <v>55</v>
      </c>
      <c r="B5" t="s">
        <v>56</v>
      </c>
      <c r="C5">
        <v>3</v>
      </c>
      <c r="D5" s="14">
        <v>1500</v>
      </c>
      <c r="F5" t="s">
        <v>164</v>
      </c>
      <c r="G5" s="14">
        <v>31680</v>
      </c>
    </row>
    <row r="6" spans="1:7" x14ac:dyDescent="0.3">
      <c r="A6" t="s">
        <v>57</v>
      </c>
      <c r="B6" t="s">
        <v>50</v>
      </c>
      <c r="C6">
        <v>5</v>
      </c>
      <c r="D6" s="14">
        <v>900</v>
      </c>
      <c r="F6" t="s">
        <v>165</v>
      </c>
      <c r="G6" s="14">
        <v>47190</v>
      </c>
    </row>
    <row r="7" spans="1:7" x14ac:dyDescent="0.3">
      <c r="A7" t="s">
        <v>58</v>
      </c>
      <c r="B7" t="s">
        <v>52</v>
      </c>
      <c r="C7">
        <v>9</v>
      </c>
      <c r="D7" s="14">
        <v>700</v>
      </c>
      <c r="F7" t="s">
        <v>166</v>
      </c>
      <c r="G7" s="14">
        <v>10680</v>
      </c>
    </row>
    <row r="8" spans="1:7" x14ac:dyDescent="0.3">
      <c r="A8" t="s">
        <v>59</v>
      </c>
      <c r="B8" t="s">
        <v>54</v>
      </c>
      <c r="C8">
        <v>18</v>
      </c>
      <c r="D8" s="14">
        <v>500</v>
      </c>
    </row>
    <row r="9" spans="1:7" x14ac:dyDescent="0.3">
      <c r="A9" t="s">
        <v>60</v>
      </c>
      <c r="B9" t="s">
        <v>56</v>
      </c>
      <c r="C9">
        <v>4</v>
      </c>
      <c r="D9" s="14">
        <v>1800</v>
      </c>
    </row>
    <row r="10" spans="1:7" x14ac:dyDescent="0.3">
      <c r="A10" t="s">
        <v>61</v>
      </c>
      <c r="B10" t="s">
        <v>50</v>
      </c>
      <c r="C10">
        <v>6</v>
      </c>
      <c r="D10" s="14">
        <v>1100</v>
      </c>
    </row>
    <row r="11" spans="1:7" x14ac:dyDescent="0.3">
      <c r="A11" t="s">
        <v>62</v>
      </c>
      <c r="B11" t="s">
        <v>52</v>
      </c>
      <c r="C11">
        <v>8</v>
      </c>
      <c r="D11" s="14">
        <v>650</v>
      </c>
    </row>
    <row r="12" spans="1:7" x14ac:dyDescent="0.3">
      <c r="A12" t="s">
        <v>63</v>
      </c>
      <c r="B12" t="s">
        <v>54</v>
      </c>
      <c r="C12">
        <v>16</v>
      </c>
      <c r="D12" s="14">
        <v>480</v>
      </c>
    </row>
    <row r="13" spans="1:7" x14ac:dyDescent="0.3">
      <c r="A13" t="s">
        <v>64</v>
      </c>
      <c r="B13" t="s">
        <v>56</v>
      </c>
      <c r="C13">
        <v>3</v>
      </c>
      <c r="D13" s="14">
        <v>1700</v>
      </c>
    </row>
    <row r="14" spans="1:7" x14ac:dyDescent="0.3">
      <c r="A14" t="s">
        <v>65</v>
      </c>
      <c r="B14" t="s">
        <v>50</v>
      </c>
      <c r="C14">
        <v>7</v>
      </c>
      <c r="D14" s="14">
        <v>1300</v>
      </c>
    </row>
    <row r="15" spans="1:7" x14ac:dyDescent="0.3">
      <c r="A15" t="s">
        <v>66</v>
      </c>
      <c r="B15" t="s">
        <v>52</v>
      </c>
      <c r="C15">
        <v>9</v>
      </c>
      <c r="D15" s="14">
        <v>720</v>
      </c>
    </row>
    <row r="16" spans="1:7" x14ac:dyDescent="0.3">
      <c r="A16" t="s">
        <v>67</v>
      </c>
      <c r="B16" t="s">
        <v>54</v>
      </c>
      <c r="C16">
        <v>17</v>
      </c>
      <c r="D16" s="14">
        <v>510</v>
      </c>
    </row>
    <row r="17" spans="1:4" x14ac:dyDescent="0.3">
      <c r="A17" t="s">
        <v>68</v>
      </c>
      <c r="B17" t="s">
        <v>56</v>
      </c>
      <c r="C17">
        <v>4</v>
      </c>
      <c r="D17" s="14">
        <v>1600</v>
      </c>
    </row>
    <row r="18" spans="1:4" x14ac:dyDescent="0.3">
      <c r="A18" t="s">
        <v>69</v>
      </c>
      <c r="B18" t="s">
        <v>50</v>
      </c>
      <c r="C18">
        <v>6</v>
      </c>
      <c r="D18" s="14">
        <v>1250</v>
      </c>
    </row>
    <row r="19" spans="1:4" x14ac:dyDescent="0.3">
      <c r="A19" t="s">
        <v>70</v>
      </c>
      <c r="B19" t="s">
        <v>52</v>
      </c>
      <c r="C19">
        <v>10</v>
      </c>
      <c r="D19" s="14">
        <v>780</v>
      </c>
    </row>
    <row r="20" spans="1:4" x14ac:dyDescent="0.3">
      <c r="A20" t="s">
        <v>71</v>
      </c>
      <c r="B20" t="s">
        <v>54</v>
      </c>
      <c r="C20">
        <v>19</v>
      </c>
      <c r="D20" s="14">
        <v>530</v>
      </c>
    </row>
    <row r="21" spans="1:4" x14ac:dyDescent="0.3">
      <c r="A21" t="s">
        <v>72</v>
      </c>
      <c r="B21" t="s">
        <v>56</v>
      </c>
      <c r="C21">
        <v>3</v>
      </c>
      <c r="D21" s="14">
        <v>1400</v>
      </c>
    </row>
    <row r="22" spans="1:4" x14ac:dyDescent="0.3">
      <c r="A22" t="s">
        <v>73</v>
      </c>
      <c r="B22" t="s">
        <v>50</v>
      </c>
      <c r="C22">
        <v>5</v>
      </c>
      <c r="D22" s="14">
        <v>1000</v>
      </c>
    </row>
    <row r="23" spans="1:4" x14ac:dyDescent="0.3">
      <c r="A23" t="s">
        <v>74</v>
      </c>
      <c r="B23" t="s">
        <v>52</v>
      </c>
      <c r="C23">
        <v>9</v>
      </c>
      <c r="D23" s="14">
        <v>690</v>
      </c>
    </row>
    <row r="24" spans="1:4" x14ac:dyDescent="0.3">
      <c r="A24" t="s">
        <v>75</v>
      </c>
      <c r="B24" t="s">
        <v>54</v>
      </c>
      <c r="C24">
        <v>14</v>
      </c>
      <c r="D24" s="14">
        <v>470</v>
      </c>
    </row>
    <row r="25" spans="1:4" x14ac:dyDescent="0.3">
      <c r="A25" t="s">
        <v>76</v>
      </c>
      <c r="B25" t="s">
        <v>56</v>
      </c>
      <c r="C25">
        <v>3</v>
      </c>
      <c r="D25" s="14">
        <v>1550</v>
      </c>
    </row>
    <row r="26" spans="1:4" x14ac:dyDescent="0.3">
      <c r="A26" t="s">
        <v>77</v>
      </c>
      <c r="B26" t="s">
        <v>50</v>
      </c>
      <c r="C26">
        <v>7</v>
      </c>
      <c r="D26" s="14">
        <v>1350</v>
      </c>
    </row>
    <row r="27" spans="1:4" x14ac:dyDescent="0.3">
      <c r="A27" t="s">
        <v>78</v>
      </c>
      <c r="B27" t="s">
        <v>52</v>
      </c>
      <c r="C27">
        <v>11</v>
      </c>
      <c r="D27" s="14">
        <v>810</v>
      </c>
    </row>
    <row r="28" spans="1:4" x14ac:dyDescent="0.3">
      <c r="A28" t="s">
        <v>79</v>
      </c>
      <c r="B28" t="s">
        <v>54</v>
      </c>
      <c r="C28">
        <v>16</v>
      </c>
      <c r="D28" s="14">
        <v>490</v>
      </c>
    </row>
    <row r="29" spans="1:4" x14ac:dyDescent="0.3">
      <c r="A29" t="s">
        <v>80</v>
      </c>
      <c r="B29" t="s">
        <v>56</v>
      </c>
      <c r="C29">
        <v>4</v>
      </c>
      <c r="D29" s="14">
        <v>1650</v>
      </c>
    </row>
    <row r="30" spans="1:4" x14ac:dyDescent="0.3">
      <c r="A30" t="s">
        <v>81</v>
      </c>
      <c r="B30" t="s">
        <v>50</v>
      </c>
      <c r="C30">
        <v>8</v>
      </c>
      <c r="D30" s="14">
        <v>1400</v>
      </c>
    </row>
    <row r="31" spans="1:4" x14ac:dyDescent="0.3">
      <c r="A31" t="s">
        <v>82</v>
      </c>
      <c r="B31" t="s">
        <v>52</v>
      </c>
      <c r="C31">
        <v>10</v>
      </c>
      <c r="D31" s="14">
        <v>830</v>
      </c>
    </row>
    <row r="32" spans="1:4" x14ac:dyDescent="0.3">
      <c r="A32" t="s">
        <v>83</v>
      </c>
      <c r="B32" t="s">
        <v>54</v>
      </c>
      <c r="C32">
        <v>18</v>
      </c>
      <c r="D32" s="14">
        <v>520</v>
      </c>
    </row>
    <row r="33" spans="1:4" x14ac:dyDescent="0.3">
      <c r="A33" t="s">
        <v>84</v>
      </c>
      <c r="B33" t="s">
        <v>56</v>
      </c>
      <c r="C33">
        <v>4</v>
      </c>
      <c r="D33" s="14">
        <v>1750</v>
      </c>
    </row>
    <row r="34" spans="1:4" x14ac:dyDescent="0.3">
      <c r="A34" t="s">
        <v>85</v>
      </c>
      <c r="B34" t="s">
        <v>50</v>
      </c>
      <c r="C34">
        <v>6</v>
      </c>
      <c r="D34" s="14">
        <v>1150</v>
      </c>
    </row>
    <row r="35" spans="1:4" x14ac:dyDescent="0.3">
      <c r="A35" t="s">
        <v>86</v>
      </c>
      <c r="B35" t="s">
        <v>52</v>
      </c>
      <c r="C35">
        <v>9</v>
      </c>
      <c r="D35" s="14">
        <v>760</v>
      </c>
    </row>
    <row r="36" spans="1:4" x14ac:dyDescent="0.3">
      <c r="A36" t="s">
        <v>87</v>
      </c>
      <c r="B36" t="s">
        <v>54</v>
      </c>
      <c r="C36">
        <v>15</v>
      </c>
      <c r="D36" s="14">
        <v>460</v>
      </c>
    </row>
    <row r="37" spans="1:4" x14ac:dyDescent="0.3">
      <c r="A37" t="s">
        <v>88</v>
      </c>
      <c r="B37" t="s">
        <v>56</v>
      </c>
      <c r="C37">
        <v>3</v>
      </c>
      <c r="D37" s="14">
        <v>1500</v>
      </c>
    </row>
    <row r="38" spans="1:4" x14ac:dyDescent="0.3">
      <c r="A38" t="s">
        <v>89</v>
      </c>
      <c r="B38" t="s">
        <v>50</v>
      </c>
      <c r="C38">
        <v>7</v>
      </c>
      <c r="D38" s="14">
        <v>1250</v>
      </c>
    </row>
    <row r="39" spans="1:4" x14ac:dyDescent="0.3">
      <c r="A39" t="s">
        <v>90</v>
      </c>
      <c r="B39" t="s">
        <v>52</v>
      </c>
      <c r="C39">
        <v>8</v>
      </c>
      <c r="D39" s="14">
        <v>720</v>
      </c>
    </row>
    <row r="40" spans="1:4" x14ac:dyDescent="0.3">
      <c r="A40" t="s">
        <v>91</v>
      </c>
      <c r="B40" t="s">
        <v>54</v>
      </c>
      <c r="C40">
        <v>17</v>
      </c>
      <c r="D40" s="14">
        <v>500</v>
      </c>
    </row>
    <row r="41" spans="1:4" x14ac:dyDescent="0.3">
      <c r="A41" t="s">
        <v>92</v>
      </c>
      <c r="B41" t="s">
        <v>56</v>
      </c>
      <c r="C41">
        <v>4</v>
      </c>
      <c r="D41" s="14">
        <v>1600</v>
      </c>
    </row>
    <row r="42" spans="1:4" x14ac:dyDescent="0.3">
      <c r="A42" t="s">
        <v>93</v>
      </c>
      <c r="B42" t="s">
        <v>50</v>
      </c>
      <c r="C42">
        <v>8</v>
      </c>
      <c r="D42" s="14">
        <v>1350</v>
      </c>
    </row>
    <row r="43" spans="1:4" x14ac:dyDescent="0.3">
      <c r="A43" t="s">
        <v>94</v>
      </c>
      <c r="B43" t="s">
        <v>52</v>
      </c>
      <c r="C43">
        <v>10</v>
      </c>
      <c r="D43" s="14">
        <v>800</v>
      </c>
    </row>
    <row r="44" spans="1:4" x14ac:dyDescent="0.3">
      <c r="A44" t="s">
        <v>95</v>
      </c>
      <c r="B44" t="s">
        <v>54</v>
      </c>
      <c r="C44">
        <v>19</v>
      </c>
      <c r="D44" s="14">
        <v>540</v>
      </c>
    </row>
    <row r="45" spans="1:4" x14ac:dyDescent="0.3">
      <c r="A45" t="s">
        <v>96</v>
      </c>
      <c r="B45" t="s">
        <v>56</v>
      </c>
      <c r="C45">
        <v>4</v>
      </c>
      <c r="D45" s="14">
        <v>1700</v>
      </c>
    </row>
    <row r="46" spans="1:4" x14ac:dyDescent="0.3">
      <c r="A46" t="s">
        <v>97</v>
      </c>
      <c r="B46" t="s">
        <v>50</v>
      </c>
      <c r="C46">
        <v>9</v>
      </c>
      <c r="D46" s="14">
        <v>1450</v>
      </c>
    </row>
    <row r="47" spans="1:4" x14ac:dyDescent="0.3">
      <c r="A47" t="s">
        <v>98</v>
      </c>
      <c r="B47" t="s">
        <v>52</v>
      </c>
      <c r="C47">
        <v>11</v>
      </c>
      <c r="D47" s="14">
        <v>820</v>
      </c>
    </row>
    <row r="48" spans="1:4" x14ac:dyDescent="0.3">
      <c r="A48" t="s">
        <v>99</v>
      </c>
      <c r="B48" t="s">
        <v>54</v>
      </c>
      <c r="C48">
        <v>20</v>
      </c>
      <c r="D48" s="14">
        <v>560</v>
      </c>
    </row>
    <row r="49" spans="1:4" x14ac:dyDescent="0.3">
      <c r="A49" t="s">
        <v>100</v>
      </c>
      <c r="B49" t="s">
        <v>56</v>
      </c>
      <c r="C49">
        <v>5</v>
      </c>
      <c r="D49" s="14">
        <v>1800</v>
      </c>
    </row>
    <row r="50" spans="1:4" x14ac:dyDescent="0.3">
      <c r="A50" t="s">
        <v>101</v>
      </c>
      <c r="B50" t="s">
        <v>50</v>
      </c>
      <c r="C50">
        <v>9</v>
      </c>
      <c r="D50" s="14">
        <v>1500</v>
      </c>
    </row>
    <row r="51" spans="1:4" x14ac:dyDescent="0.3">
      <c r="A51" t="s">
        <v>102</v>
      </c>
      <c r="B51" t="s">
        <v>52</v>
      </c>
      <c r="C51">
        <v>12</v>
      </c>
      <c r="D51" s="14">
        <v>850</v>
      </c>
    </row>
    <row r="52" spans="1:4" x14ac:dyDescent="0.3">
      <c r="A52" t="s">
        <v>103</v>
      </c>
      <c r="B52" t="s">
        <v>54</v>
      </c>
      <c r="C52">
        <v>21</v>
      </c>
      <c r="D52" s="14">
        <v>580</v>
      </c>
    </row>
    <row r="53" spans="1:4" x14ac:dyDescent="0.3">
      <c r="A53" t="s">
        <v>104</v>
      </c>
      <c r="B53" t="s">
        <v>56</v>
      </c>
      <c r="C53">
        <v>5</v>
      </c>
      <c r="D53" s="14">
        <v>1900</v>
      </c>
    </row>
    <row r="54" spans="1:4" x14ac:dyDescent="0.3">
      <c r="A54" t="s">
        <v>105</v>
      </c>
      <c r="B54" t="s">
        <v>50</v>
      </c>
      <c r="C54">
        <v>10</v>
      </c>
      <c r="D54" s="14">
        <v>1550</v>
      </c>
    </row>
    <row r="55" spans="1:4" x14ac:dyDescent="0.3">
      <c r="A55" t="s">
        <v>106</v>
      </c>
      <c r="B55" t="s">
        <v>52</v>
      </c>
      <c r="C55">
        <v>12</v>
      </c>
      <c r="D55" s="14">
        <v>870</v>
      </c>
    </row>
    <row r="56" spans="1:4" x14ac:dyDescent="0.3">
      <c r="A56" t="s">
        <v>107</v>
      </c>
      <c r="B56" t="s">
        <v>54</v>
      </c>
      <c r="C56">
        <v>22</v>
      </c>
      <c r="D56" s="14">
        <v>600</v>
      </c>
    </row>
    <row r="57" spans="1:4" x14ac:dyDescent="0.3">
      <c r="A57" t="s">
        <v>108</v>
      </c>
      <c r="B57" t="s">
        <v>56</v>
      </c>
      <c r="C57">
        <v>5</v>
      </c>
      <c r="D57" s="14">
        <v>2000</v>
      </c>
    </row>
    <row r="58" spans="1:4" x14ac:dyDescent="0.3">
      <c r="A58" t="s">
        <v>109</v>
      </c>
      <c r="B58" t="s">
        <v>50</v>
      </c>
      <c r="C58">
        <v>10</v>
      </c>
      <c r="D58" s="14">
        <v>1600</v>
      </c>
    </row>
    <row r="59" spans="1:4" x14ac:dyDescent="0.3">
      <c r="A59" t="s">
        <v>110</v>
      </c>
      <c r="B59" t="s">
        <v>52</v>
      </c>
      <c r="C59">
        <v>13</v>
      </c>
      <c r="D59" s="14">
        <v>900</v>
      </c>
    </row>
    <row r="60" spans="1:4" x14ac:dyDescent="0.3">
      <c r="A60" t="s">
        <v>111</v>
      </c>
      <c r="B60" t="s">
        <v>54</v>
      </c>
      <c r="C60">
        <v>23</v>
      </c>
      <c r="D60" s="14">
        <v>620</v>
      </c>
    </row>
    <row r="61" spans="1:4" x14ac:dyDescent="0.3">
      <c r="A61" t="s">
        <v>112</v>
      </c>
      <c r="B61" t="s">
        <v>56</v>
      </c>
      <c r="C61">
        <v>6</v>
      </c>
      <c r="D61" s="14">
        <v>2100</v>
      </c>
    </row>
    <row r="62" spans="1:4" x14ac:dyDescent="0.3">
      <c r="A62" t="s">
        <v>113</v>
      </c>
      <c r="B62" t="s">
        <v>50</v>
      </c>
      <c r="C62">
        <v>11</v>
      </c>
      <c r="D62" s="14">
        <v>1650</v>
      </c>
    </row>
    <row r="63" spans="1:4" x14ac:dyDescent="0.3">
      <c r="A63" t="s">
        <v>114</v>
      </c>
      <c r="B63" t="s">
        <v>52</v>
      </c>
      <c r="C63">
        <v>13</v>
      </c>
      <c r="D63" s="14">
        <v>920</v>
      </c>
    </row>
    <row r="64" spans="1:4" x14ac:dyDescent="0.3">
      <c r="A64" t="s">
        <v>115</v>
      </c>
      <c r="B64" t="s">
        <v>54</v>
      </c>
      <c r="C64">
        <v>24</v>
      </c>
      <c r="D64" s="14">
        <v>640</v>
      </c>
    </row>
    <row r="65" spans="1:4" x14ac:dyDescent="0.3">
      <c r="A65" t="s">
        <v>116</v>
      </c>
      <c r="B65" t="s">
        <v>56</v>
      </c>
      <c r="C65">
        <v>6</v>
      </c>
      <c r="D65" s="14">
        <v>2200</v>
      </c>
    </row>
    <row r="66" spans="1:4" x14ac:dyDescent="0.3">
      <c r="A66" t="s">
        <v>117</v>
      </c>
      <c r="B66" t="s">
        <v>50</v>
      </c>
      <c r="C66">
        <v>11</v>
      </c>
      <c r="D66" s="14">
        <v>1700</v>
      </c>
    </row>
    <row r="67" spans="1:4" x14ac:dyDescent="0.3">
      <c r="A67" t="s">
        <v>118</v>
      </c>
      <c r="B67" t="s">
        <v>52</v>
      </c>
      <c r="C67">
        <v>14</v>
      </c>
      <c r="D67" s="14">
        <v>950</v>
      </c>
    </row>
    <row r="68" spans="1:4" x14ac:dyDescent="0.3">
      <c r="A68" t="s">
        <v>119</v>
      </c>
      <c r="B68" t="s">
        <v>54</v>
      </c>
      <c r="C68">
        <v>25</v>
      </c>
      <c r="D68" s="14">
        <v>660</v>
      </c>
    </row>
    <row r="69" spans="1:4" x14ac:dyDescent="0.3">
      <c r="A69" t="s">
        <v>120</v>
      </c>
      <c r="B69" t="s">
        <v>56</v>
      </c>
      <c r="C69">
        <v>6</v>
      </c>
      <c r="D69" s="14">
        <v>2300</v>
      </c>
    </row>
    <row r="70" spans="1:4" x14ac:dyDescent="0.3">
      <c r="A70" t="s">
        <v>121</v>
      </c>
      <c r="B70" t="s">
        <v>50</v>
      </c>
      <c r="C70">
        <v>12</v>
      </c>
      <c r="D70" s="14">
        <v>1750</v>
      </c>
    </row>
    <row r="71" spans="1:4" x14ac:dyDescent="0.3">
      <c r="A71" t="s">
        <v>122</v>
      </c>
      <c r="B71" t="s">
        <v>52</v>
      </c>
      <c r="C71">
        <v>14</v>
      </c>
      <c r="D71" s="14">
        <v>970</v>
      </c>
    </row>
    <row r="72" spans="1:4" x14ac:dyDescent="0.3">
      <c r="A72" t="s">
        <v>123</v>
      </c>
      <c r="B72" t="s">
        <v>54</v>
      </c>
      <c r="C72">
        <v>26</v>
      </c>
      <c r="D72" s="14">
        <v>680</v>
      </c>
    </row>
    <row r="73" spans="1:4" x14ac:dyDescent="0.3">
      <c r="A73" t="s">
        <v>124</v>
      </c>
      <c r="B73" t="s">
        <v>56</v>
      </c>
      <c r="C73">
        <v>7</v>
      </c>
      <c r="D73" s="14">
        <v>2400</v>
      </c>
    </row>
    <row r="74" spans="1:4" x14ac:dyDescent="0.3">
      <c r="A74" t="s">
        <v>125</v>
      </c>
      <c r="B74" t="s">
        <v>50</v>
      </c>
      <c r="C74">
        <v>12</v>
      </c>
      <c r="D74" s="14">
        <v>1800</v>
      </c>
    </row>
    <row r="75" spans="1:4" x14ac:dyDescent="0.3">
      <c r="A75" t="s">
        <v>126</v>
      </c>
      <c r="B75" t="s">
        <v>52</v>
      </c>
      <c r="C75">
        <v>15</v>
      </c>
      <c r="D75" s="14">
        <v>1000</v>
      </c>
    </row>
    <row r="76" spans="1:4" x14ac:dyDescent="0.3">
      <c r="A76" t="s">
        <v>127</v>
      </c>
      <c r="B76" t="s">
        <v>54</v>
      </c>
      <c r="C76">
        <v>27</v>
      </c>
      <c r="D76" s="14">
        <v>700</v>
      </c>
    </row>
    <row r="77" spans="1:4" x14ac:dyDescent="0.3">
      <c r="A77" t="s">
        <v>128</v>
      </c>
      <c r="B77" t="s">
        <v>56</v>
      </c>
      <c r="C77">
        <v>7</v>
      </c>
      <c r="D77" s="14">
        <v>2500</v>
      </c>
    </row>
    <row r="78" spans="1:4" x14ac:dyDescent="0.3">
      <c r="A78" t="s">
        <v>129</v>
      </c>
      <c r="B78" t="s">
        <v>50</v>
      </c>
      <c r="C78">
        <v>13</v>
      </c>
      <c r="D78" s="14">
        <v>1850</v>
      </c>
    </row>
    <row r="79" spans="1:4" x14ac:dyDescent="0.3">
      <c r="A79" t="s">
        <v>130</v>
      </c>
      <c r="B79" t="s">
        <v>52</v>
      </c>
      <c r="C79">
        <v>15</v>
      </c>
      <c r="D79" s="14">
        <v>1020</v>
      </c>
    </row>
    <row r="80" spans="1:4" x14ac:dyDescent="0.3">
      <c r="A80" t="s">
        <v>131</v>
      </c>
      <c r="B80" t="s">
        <v>54</v>
      </c>
      <c r="C80">
        <v>28</v>
      </c>
      <c r="D80" s="14">
        <v>720</v>
      </c>
    </row>
    <row r="81" spans="1:4" x14ac:dyDescent="0.3">
      <c r="A81" t="s">
        <v>132</v>
      </c>
      <c r="B81" t="s">
        <v>56</v>
      </c>
      <c r="C81">
        <v>7</v>
      </c>
      <c r="D81" s="14">
        <v>2600</v>
      </c>
    </row>
    <row r="82" spans="1:4" x14ac:dyDescent="0.3">
      <c r="A82" t="s">
        <v>133</v>
      </c>
      <c r="B82" t="s">
        <v>50</v>
      </c>
      <c r="C82">
        <v>13</v>
      </c>
      <c r="D82" s="14">
        <v>1900</v>
      </c>
    </row>
    <row r="83" spans="1:4" x14ac:dyDescent="0.3">
      <c r="A83" t="s">
        <v>134</v>
      </c>
      <c r="B83" t="s">
        <v>52</v>
      </c>
      <c r="C83">
        <v>16</v>
      </c>
      <c r="D83" s="14">
        <v>1050</v>
      </c>
    </row>
    <row r="84" spans="1:4" x14ac:dyDescent="0.3">
      <c r="A84" t="s">
        <v>135</v>
      </c>
      <c r="B84" t="s">
        <v>54</v>
      </c>
      <c r="C84">
        <v>29</v>
      </c>
      <c r="D84" s="14">
        <v>740</v>
      </c>
    </row>
    <row r="85" spans="1:4" x14ac:dyDescent="0.3">
      <c r="A85" t="s">
        <v>136</v>
      </c>
      <c r="B85" t="s">
        <v>56</v>
      </c>
      <c r="C85">
        <v>8</v>
      </c>
      <c r="D85" s="14">
        <v>2700</v>
      </c>
    </row>
    <row r="86" spans="1:4" x14ac:dyDescent="0.3">
      <c r="A86" t="s">
        <v>137</v>
      </c>
      <c r="B86" t="s">
        <v>50</v>
      </c>
      <c r="C86">
        <v>14</v>
      </c>
      <c r="D86" s="14">
        <v>1950</v>
      </c>
    </row>
    <row r="87" spans="1:4" x14ac:dyDescent="0.3">
      <c r="A87" t="s">
        <v>138</v>
      </c>
      <c r="B87" t="s">
        <v>52</v>
      </c>
      <c r="C87">
        <v>16</v>
      </c>
      <c r="D87" s="14">
        <v>1080</v>
      </c>
    </row>
    <row r="88" spans="1:4" x14ac:dyDescent="0.3">
      <c r="A88" t="s">
        <v>139</v>
      </c>
      <c r="B88" t="s">
        <v>54</v>
      </c>
      <c r="C88">
        <v>30</v>
      </c>
      <c r="D88" s="14">
        <v>760</v>
      </c>
    </row>
    <row r="89" spans="1:4" x14ac:dyDescent="0.3">
      <c r="A89" t="s">
        <v>140</v>
      </c>
      <c r="B89" t="s">
        <v>56</v>
      </c>
      <c r="C89">
        <v>8</v>
      </c>
      <c r="D89" s="14">
        <v>2800</v>
      </c>
    </row>
    <row r="90" spans="1:4" x14ac:dyDescent="0.3">
      <c r="A90" t="s">
        <v>141</v>
      </c>
      <c r="B90" t="s">
        <v>50</v>
      </c>
      <c r="C90">
        <v>14</v>
      </c>
      <c r="D90" s="14">
        <v>2000</v>
      </c>
    </row>
    <row r="91" spans="1:4" x14ac:dyDescent="0.3">
      <c r="A91" t="s">
        <v>142</v>
      </c>
      <c r="B91" t="s">
        <v>52</v>
      </c>
      <c r="C91">
        <v>17</v>
      </c>
      <c r="D91" s="14">
        <v>1100</v>
      </c>
    </row>
    <row r="92" spans="1:4" x14ac:dyDescent="0.3">
      <c r="A92" t="s">
        <v>143</v>
      </c>
      <c r="B92" t="s">
        <v>54</v>
      </c>
      <c r="C92">
        <v>31</v>
      </c>
      <c r="D92" s="14">
        <v>780</v>
      </c>
    </row>
    <row r="93" spans="1:4" x14ac:dyDescent="0.3">
      <c r="A93" t="s">
        <v>144</v>
      </c>
      <c r="B93" t="s">
        <v>56</v>
      </c>
      <c r="C93">
        <v>8</v>
      </c>
      <c r="D93" s="14">
        <v>2900</v>
      </c>
    </row>
    <row r="94" spans="1:4" x14ac:dyDescent="0.3">
      <c r="A94" t="s">
        <v>145</v>
      </c>
      <c r="B94" t="s">
        <v>50</v>
      </c>
      <c r="C94">
        <v>15</v>
      </c>
      <c r="D94" s="14">
        <v>2050</v>
      </c>
    </row>
    <row r="95" spans="1:4" x14ac:dyDescent="0.3">
      <c r="A95" t="s">
        <v>146</v>
      </c>
      <c r="B95" t="s">
        <v>52</v>
      </c>
      <c r="C95">
        <v>18</v>
      </c>
      <c r="D95" s="14">
        <v>1150</v>
      </c>
    </row>
    <row r="96" spans="1:4" x14ac:dyDescent="0.3">
      <c r="A96" t="s">
        <v>147</v>
      </c>
      <c r="B96" t="s">
        <v>54</v>
      </c>
      <c r="C96">
        <v>32</v>
      </c>
      <c r="D96" s="14">
        <v>800</v>
      </c>
    </row>
    <row r="97" spans="1:4" x14ac:dyDescent="0.3">
      <c r="A97" t="s">
        <v>148</v>
      </c>
      <c r="B97" t="s">
        <v>56</v>
      </c>
      <c r="C97">
        <v>9</v>
      </c>
      <c r="D97" s="14">
        <v>3000</v>
      </c>
    </row>
    <row r="100" spans="1:4" x14ac:dyDescent="0.3">
      <c r="A100" s="11" t="s">
        <v>153</v>
      </c>
      <c r="B100" s="14">
        <f>SUM(D2:D97)</f>
        <v>120180</v>
      </c>
    </row>
    <row r="101" spans="1:4" x14ac:dyDescent="0.3">
      <c r="A101" s="11" t="s">
        <v>154</v>
      </c>
      <c r="B101" s="13">
        <f>AVERAGE(D1:D97)</f>
        <v>1251.875</v>
      </c>
    </row>
    <row r="102" spans="1:4" x14ac:dyDescent="0.3">
      <c r="A102" s="11" t="s">
        <v>155</v>
      </c>
      <c r="B102" s="14">
        <f>MAX(D2:D97)</f>
        <v>3000</v>
      </c>
    </row>
    <row r="103" spans="1:4" x14ac:dyDescent="0.3">
      <c r="A103" s="11" t="s">
        <v>156</v>
      </c>
      <c r="B103" s="14">
        <f>MIN(D2:D97)</f>
        <v>450</v>
      </c>
    </row>
    <row r="105" spans="1:4" x14ac:dyDescent="0.3">
      <c r="A105" s="11" t="s">
        <v>161</v>
      </c>
      <c r="B105" s="18">
        <f>SUM(C2:C97)</f>
        <v>1161</v>
      </c>
    </row>
    <row r="106" spans="1:4" x14ac:dyDescent="0.3">
      <c r="A106" s="11" t="s">
        <v>162</v>
      </c>
      <c r="B106" s="17">
        <f>AVERAGE(C2:C97)</f>
        <v>12.09375</v>
      </c>
    </row>
    <row r="107" spans="1:4" x14ac:dyDescent="0.3">
      <c r="A107" s="11" t="s">
        <v>155</v>
      </c>
      <c r="B107">
        <f>MAX(C2:C97)</f>
        <v>32</v>
      </c>
    </row>
    <row r="108" spans="1:4" x14ac:dyDescent="0.3">
      <c r="A108" s="11" t="s">
        <v>156</v>
      </c>
      <c r="B108">
        <f>MIN(C2:C97)</f>
        <v>3</v>
      </c>
    </row>
  </sheetData>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E3B5A2-4601-4BE4-8A81-8714CB35F95B}">
  <dimension ref="A3:B8"/>
  <sheetViews>
    <sheetView workbookViewId="0">
      <selection activeCell="J11" sqref="J11"/>
    </sheetView>
  </sheetViews>
  <sheetFormatPr defaultRowHeight="14.4" x14ac:dyDescent="0.3"/>
  <cols>
    <col min="1" max="1" width="12.44140625" bestFit="1" customWidth="1"/>
    <col min="2" max="2" width="14.109375" bestFit="1" customWidth="1"/>
    <col min="3" max="3" width="10.33203125" bestFit="1" customWidth="1"/>
    <col min="4" max="4" width="8.5546875" bestFit="1" customWidth="1"/>
    <col min="5" max="5" width="9.109375" bestFit="1" customWidth="1"/>
    <col min="6" max="6" width="10.5546875" bestFit="1" customWidth="1"/>
    <col min="7" max="7" width="15.5546875" bestFit="1" customWidth="1"/>
    <col min="8" max="8" width="14.109375" bestFit="1" customWidth="1"/>
    <col min="9" max="9" width="15.5546875" bestFit="1" customWidth="1"/>
    <col min="10" max="10" width="18.6640625" bestFit="1" customWidth="1"/>
    <col min="11" max="11" width="20.109375" bestFit="1" customWidth="1"/>
  </cols>
  <sheetData>
    <row r="3" spans="1:2" x14ac:dyDescent="0.3">
      <c r="A3" s="15" t="s">
        <v>157</v>
      </c>
      <c r="B3" t="s">
        <v>159</v>
      </c>
    </row>
    <row r="4" spans="1:2" x14ac:dyDescent="0.3">
      <c r="A4" s="16" t="s">
        <v>52</v>
      </c>
      <c r="B4" s="14">
        <v>20940</v>
      </c>
    </row>
    <row r="5" spans="1:2" x14ac:dyDescent="0.3">
      <c r="A5" s="16" t="s">
        <v>50</v>
      </c>
      <c r="B5" s="14">
        <v>36000</v>
      </c>
    </row>
    <row r="6" spans="1:2" x14ac:dyDescent="0.3">
      <c r="A6" s="16" t="s">
        <v>56</v>
      </c>
      <c r="B6" s="14">
        <v>48950</v>
      </c>
    </row>
    <row r="7" spans="1:2" x14ac:dyDescent="0.3">
      <c r="A7" s="16" t="s">
        <v>54</v>
      </c>
      <c r="B7" s="14">
        <v>14290</v>
      </c>
    </row>
    <row r="8" spans="1:2" x14ac:dyDescent="0.3">
      <c r="A8" s="16" t="s">
        <v>158</v>
      </c>
      <c r="B8" s="14">
        <v>120180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281CFE-DE4F-480E-B7B2-A03992C39B2F}">
  <dimension ref="A3:B6"/>
  <sheetViews>
    <sheetView workbookViewId="0">
      <selection activeCell="B4" sqref="B4"/>
    </sheetView>
  </sheetViews>
  <sheetFormatPr defaultRowHeight="14.4" x14ac:dyDescent="0.3"/>
  <cols>
    <col min="1" max="1" width="12.44140625" bestFit="1" customWidth="1"/>
    <col min="2" max="2" width="22.88671875" bestFit="1" customWidth="1"/>
  </cols>
  <sheetData>
    <row r="3" spans="1:2" x14ac:dyDescent="0.3">
      <c r="A3" s="15" t="s">
        <v>157</v>
      </c>
      <c r="B3" t="s">
        <v>169</v>
      </c>
    </row>
    <row r="4" spans="1:2" x14ac:dyDescent="0.3">
      <c r="A4" s="16" t="s">
        <v>163</v>
      </c>
      <c r="B4" s="14">
        <v>30630</v>
      </c>
    </row>
    <row r="5" spans="1:2" x14ac:dyDescent="0.3">
      <c r="A5" s="16" t="s">
        <v>164</v>
      </c>
      <c r="B5" s="14">
        <v>31680</v>
      </c>
    </row>
    <row r="6" spans="1:2" x14ac:dyDescent="0.3">
      <c r="A6" s="16" t="s">
        <v>158</v>
      </c>
      <c r="B6" s="14">
        <v>62310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93471-7BF2-41D6-BBE0-2FAF94F9FF33}">
  <dimension ref="A3:B8"/>
  <sheetViews>
    <sheetView workbookViewId="0">
      <selection activeCell="H22" sqref="H22"/>
    </sheetView>
  </sheetViews>
  <sheetFormatPr defaultRowHeight="14.4" x14ac:dyDescent="0.3"/>
  <cols>
    <col min="1" max="1" width="12.44140625" bestFit="1" customWidth="1"/>
    <col min="2" max="2" width="15.5546875" bestFit="1" customWidth="1"/>
  </cols>
  <sheetData>
    <row r="3" spans="1:2" x14ac:dyDescent="0.3">
      <c r="A3" s="15" t="s">
        <v>157</v>
      </c>
      <c r="B3" t="s">
        <v>160</v>
      </c>
    </row>
    <row r="4" spans="1:2" x14ac:dyDescent="0.3">
      <c r="A4" s="16" t="s">
        <v>52</v>
      </c>
      <c r="B4">
        <v>289</v>
      </c>
    </row>
    <row r="5" spans="1:2" x14ac:dyDescent="0.3">
      <c r="A5" s="16" t="s">
        <v>50</v>
      </c>
      <c r="B5">
        <v>224</v>
      </c>
    </row>
    <row r="6" spans="1:2" x14ac:dyDescent="0.3">
      <c r="A6" s="16" t="s">
        <v>56</v>
      </c>
      <c r="B6">
        <v>126</v>
      </c>
    </row>
    <row r="7" spans="1:2" x14ac:dyDescent="0.3">
      <c r="A7" s="16" t="s">
        <v>54</v>
      </c>
      <c r="B7">
        <v>522</v>
      </c>
    </row>
    <row r="8" spans="1:2" x14ac:dyDescent="0.3">
      <c r="A8" s="16" t="s">
        <v>158</v>
      </c>
      <c r="B8">
        <v>1161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CF7E6B-DD7B-4F67-BF8F-02DD18AE10FF}">
  <dimension ref="A1:J7"/>
  <sheetViews>
    <sheetView showGridLines="0" topLeftCell="A2" workbookViewId="0">
      <selection activeCell="P4" sqref="P4"/>
    </sheetView>
  </sheetViews>
  <sheetFormatPr defaultRowHeight="14.4" x14ac:dyDescent="0.3"/>
  <sheetData>
    <row r="1" spans="1:10" ht="27" customHeight="1" x14ac:dyDescent="0.6">
      <c r="A1" s="19" t="s">
        <v>170</v>
      </c>
      <c r="B1" s="19"/>
      <c r="C1" s="19"/>
      <c r="D1" s="19"/>
      <c r="E1" s="19"/>
      <c r="F1" s="19"/>
      <c r="G1" s="19"/>
      <c r="H1" s="19"/>
      <c r="I1" s="19"/>
      <c r="J1" s="19"/>
    </row>
    <row r="2" spans="1:10" ht="14.4" customHeight="1" x14ac:dyDescent="0.3">
      <c r="A2" s="22" t="s">
        <v>171</v>
      </c>
      <c r="B2" s="22"/>
      <c r="C2" s="22"/>
      <c r="D2" s="22"/>
      <c r="E2" s="22"/>
      <c r="F2" s="22"/>
      <c r="G2" s="22"/>
      <c r="H2" s="22"/>
      <c r="I2" s="22"/>
    </row>
    <row r="3" spans="1:10" ht="14.4" customHeight="1" x14ac:dyDescent="0.3">
      <c r="A3" s="22"/>
      <c r="B3" s="22"/>
      <c r="C3" s="22"/>
      <c r="D3" s="22"/>
      <c r="E3" s="22"/>
      <c r="F3" s="22"/>
      <c r="G3" s="22"/>
      <c r="H3" s="22"/>
      <c r="I3" s="22"/>
    </row>
    <row r="4" spans="1:10" ht="14.4" customHeight="1" x14ac:dyDescent="0.3">
      <c r="A4" s="23" t="s">
        <v>172</v>
      </c>
      <c r="B4" s="23"/>
      <c r="C4" s="23"/>
      <c r="D4" s="23"/>
      <c r="E4" s="23"/>
      <c r="F4" s="23"/>
      <c r="G4" s="23"/>
      <c r="H4" s="23"/>
      <c r="I4" s="23"/>
    </row>
    <row r="5" spans="1:10" ht="14.4" customHeight="1" x14ac:dyDescent="0.3">
      <c r="A5" s="23"/>
      <c r="B5" s="23"/>
      <c r="C5" s="23"/>
      <c r="D5" s="23"/>
      <c r="E5" s="23"/>
      <c r="F5" s="23"/>
      <c r="G5" s="23"/>
      <c r="H5" s="23"/>
      <c r="I5" s="23"/>
    </row>
    <row r="6" spans="1:10" ht="14.4" customHeight="1" x14ac:dyDescent="0.6">
      <c r="A6" s="19"/>
      <c r="B6" s="19"/>
      <c r="C6" s="19"/>
      <c r="D6" s="19"/>
    </row>
    <row r="7" spans="1:10" ht="14.4" customHeight="1" x14ac:dyDescent="0.6">
      <c r="A7" s="19"/>
      <c r="B7" s="19"/>
      <c r="C7" s="19"/>
      <c r="D7" s="19"/>
    </row>
  </sheetData>
  <mergeCells count="2">
    <mergeCell ref="A2:I3"/>
    <mergeCell ref="A4:I5"/>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FF995E5-0C54-43CE-8FC3-29D566965DF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Practice</vt:lpstr>
      <vt:lpstr>Sheet1</vt:lpstr>
      <vt:lpstr>Sheet2</vt:lpstr>
      <vt:lpstr>Sheet4</vt:lpstr>
      <vt:lpstr>Sheet5</vt:lpstr>
      <vt:lpstr>Sheet6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Eddriel Navarro</dc:creator>
  <cp:lastModifiedBy>Eddriel Navarro</cp:lastModifiedBy>
  <cp:lastPrinted>2026-04-11T11:03:15Z</cp:lastPrinted>
  <dcterms:created xsi:type="dcterms:W3CDTF">2025-12-14T09:00:52Z</dcterms:created>
  <dcterms:modified xsi:type="dcterms:W3CDTF">2026-05-22T20:24:24Z</dcterms:modified>
</cp:coreProperties>
</file>